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ahrens\Desktop\"/>
    </mc:Choice>
  </mc:AlternateContent>
  <bookViews>
    <workbookView xWindow="0" yWindow="0" windowWidth="28800" windowHeight="11985"/>
  </bookViews>
  <sheets>
    <sheet name="Start Here" sheetId="12" r:id="rId1"/>
    <sheet name="Bin Lookup" sheetId="9" r:id="rId2"/>
    <sheet name="Inventory List" sheetId="2" r:id="rId3"/>
    <sheet name="Inventory Pick List" sheetId="11" r:id="rId4"/>
  </sheets>
  <externalReferences>
    <externalReference r:id="rId5"/>
  </externalReference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1">'Bin Lookup'!$4:$4</definedName>
    <definedName name="_xlnm.Print_Titles" localSheetId="2">'Inventory List'!$4:$4</definedName>
    <definedName name="_xlnm.Print_Titles" localSheetId="3">'Inventory Pick List'!$4:$4</definedName>
    <definedName name="SKULookup">InventoryList[SKU]</definedName>
  </definedNames>
  <calcPr calcId="152511" concurrentCalc="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5" i="11" l="1"/>
  <c r="I6" i="11"/>
  <c r="I7" i="11"/>
  <c r="I8" i="11"/>
  <c r="I9" i="11"/>
  <c r="H5" i="11"/>
  <c r="H6" i="11"/>
  <c r="H7" i="11"/>
  <c r="H8" i="11"/>
  <c r="H9" i="11"/>
  <c r="G5" i="11"/>
  <c r="G6" i="11"/>
  <c r="G7" i="11"/>
  <c r="G8" i="11"/>
  <c r="G9" i="11"/>
  <c r="F5" i="11"/>
  <c r="F6" i="11"/>
  <c r="F7" i="11"/>
  <c r="F8" i="11"/>
  <c r="F9" i="11"/>
  <c r="E5" i="11"/>
  <c r="E6" i="11"/>
  <c r="E7" i="11"/>
  <c r="E8" i="11"/>
  <c r="E9" i="11"/>
  <c r="K15" i="2"/>
  <c r="K14" i="2"/>
  <c r="K12" i="2"/>
  <c r="K11" i="2"/>
  <c r="K10" i="2"/>
  <c r="K9" i="2"/>
  <c r="K8" i="2"/>
  <c r="K7" i="2"/>
  <c r="K6" i="2"/>
  <c r="K5" i="2"/>
  <c r="K13" i="2"/>
  <c r="J15" i="2"/>
  <c r="E15" i="2"/>
  <c r="J14" i="2"/>
  <c r="E14" i="2"/>
  <c r="J13" i="2"/>
  <c r="E13" i="2"/>
  <c r="J12" i="2"/>
  <c r="E12" i="2"/>
  <c r="J11" i="2"/>
  <c r="E11" i="2"/>
  <c r="J10" i="2"/>
  <c r="E10" i="2"/>
  <c r="J9" i="2"/>
  <c r="E9" i="2"/>
  <c r="J8" i="2"/>
  <c r="E8" i="2"/>
  <c r="J7" i="2"/>
  <c r="E7" i="2"/>
  <c r="J6" i="2"/>
  <c r="E6" i="2"/>
  <c r="J5" i="2"/>
  <c r="E5" i="2"/>
  <c r="C3" i="2"/>
  <c r="D3" i="2"/>
  <c r="B3" i="2"/>
</calcChain>
</file>

<file path=xl/sharedStrings.xml><?xml version="1.0" encoding="utf-8"?>
<sst xmlns="http://schemas.openxmlformats.org/spreadsheetml/2006/main" count="116" uniqueCount="73">
  <si>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</si>
  <si>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</si>
  <si>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</si>
  <si>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</si>
  <si>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</si>
  <si>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</si>
  <si>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</si>
  <si>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</si>
  <si>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</si>
  <si>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</si>
  <si>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</si>
  <si>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</si>
  <si>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</si>
  <si>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</si>
  <si>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</si>
  <si>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</si>
  <si>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</si>
  <si>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</si>
  <si>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</si>
  <si>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</si>
  <si>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</si>
  <si>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</si>
  <si>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</si>
  <si>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</si>
  <si>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</si>
  <si>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</si>
  <si>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</si>
  <si>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</si>
  <si>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</si>
  <si>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</si>
  <si>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</si>
  <si>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</si>
  <si>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</si>
  <si>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</si>
  <si>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</si>
  <si>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</si>
  <si>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</si>
  <si>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</si>
  <si>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</si>
  <si>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</si>
  <si>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TOTAL INVENTORY VALUE:</t>
  </si>
  <si>
    <t>BIN COUNT:</t>
  </si>
  <si>
    <t>INVENTORY ITEMS:</t>
  </si>
  <si>
    <t>DESCRIPTION</t>
  </si>
  <si>
    <t>BIN #</t>
  </si>
  <si>
    <t>LOCATION</t>
  </si>
  <si>
    <t>UNIT</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</si>
  <si>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</si>
  <si>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</si>
  <si>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</si>
  <si>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</si>
  <si>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</si>
  <si>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</si>
  <si>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</si>
  <si>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</si>
  <si>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</si>
  <si>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</si>
  <si>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</si>
  <si>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</si>
  <si>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</si>
  <si>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</si>
  <si>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</si>
  <si>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</si>
  <si>
    <r>
      <rPr>
        <i/>
        <sz val="14"/>
        <color theme="0"/>
        <rFont val="Georgia"/>
        <family val="1"/>
      </rPr>
      <t>Getting started with your</t>
    </r>
    <r>
      <rPr>
        <sz val="12"/>
        <color theme="0"/>
        <rFont val="Georgia"/>
        <family val="1"/>
      </rPr>
      <t xml:space="preserve"> </t>
    </r>
    <r>
      <rPr>
        <sz val="20"/>
        <color theme="0"/>
        <rFont val="Arial Black"/>
        <family val="2"/>
      </rPr>
      <t xml:space="preserve">Inventory Tracking Spreadsheet </t>
    </r>
    <r>
      <rPr>
        <i/>
        <sz val="14"/>
        <color theme="0"/>
        <rFont val="Georgia"/>
        <family val="1"/>
      </rPr>
      <t xml:space="preserve"> </t>
    </r>
  </si>
  <si>
    <t>T5786</t>
  </si>
  <si>
    <t>How to use this spreadsheet:</t>
  </si>
  <si>
    <t>Why is tracking inventory so important?</t>
  </si>
  <si>
    <t>AVAILABLE QTY</t>
  </si>
  <si>
    <r>
      <rPr>
        <sz val="12"/>
        <rFont val="Helvetica Light"/>
      </rPr>
      <t xml:space="preserve">
For small business owners, properly tracking and managing inventory is crucial to business success.
Without inventory tracking, the wrong product may be ordered - not leaving enough budget to re-order the correct item. It's easy to lose customers to big box retailers who will likely have the desired item on their shelves.
Here's why properly tracking your inventory is so important:
• Know what you have and what you need to keep your business running smoothly. 
• Respond to your customers' needs quickly.
• Ability to search on-hand items quickly easily.
• Adjust ordering methods based on popularity of items in your inventory.</t>
    </r>
    <r>
      <rPr>
        <sz val="12"/>
        <color theme="1" tint="0.249977111117893"/>
        <rFont val="Helvetica Light"/>
      </rPr>
      <t xml:space="preserve">
</t>
    </r>
  </si>
  <si>
    <r>
      <t xml:space="preserve">
As I mentioned in the article, Excel is a great way for businesses with fewer locations and item SKUs to begin tracking inventory. I understand every business is different, which is why I've created a customizable spreadsheet that will allow you to easily track and manage your items. With this spreadsheet, you're on your way to becoming an inventory tracking master!
</t>
    </r>
    <r>
      <rPr>
        <b/>
        <sz val="12"/>
        <rFont val="Georgia"/>
        <family val="1"/>
      </rPr>
      <t>NOTE:</t>
    </r>
    <r>
      <rPr>
        <sz val="12"/>
        <rFont val="Helvetica Light"/>
      </rPr>
      <t xml:space="preserve"> each tab is interactive and feeds into subsequent tabs, so the tool works best if you follow these steps:
</t>
    </r>
    <r>
      <rPr>
        <b/>
        <sz val="14"/>
        <rFont val="Georgia"/>
        <family val="1"/>
      </rPr>
      <t>step 1 ("Bin Lookup" tab):</t>
    </r>
    <r>
      <rPr>
        <sz val="12"/>
        <rFont val="Helvetica Light"/>
      </rPr>
      <t xml:space="preserve">
Starting with this tab, you will be able to manually input information about the bins in your warehouse(s). This will include the bin name, location, and dimensions. 
</t>
    </r>
    <r>
      <rPr>
        <b/>
        <sz val="14"/>
        <rFont val="Georgia"/>
        <family val="1"/>
      </rPr>
      <t>step 2 ("Inventory List" tab):</t>
    </r>
    <r>
      <rPr>
        <sz val="12"/>
        <rFont val="Helvetica Light"/>
      </rPr>
      <t xml:space="preserve">
Use this tab to input your individual inventory items. You'll be able to keep track of quantities on hand, item locations, inventory values, and when to reorder items with this tab. Use the arrows located at the top of each column to easily sort your inventory.
</t>
    </r>
    <r>
      <rPr>
        <b/>
        <sz val="14"/>
        <rFont val="Georgia"/>
        <family val="1"/>
      </rPr>
      <t>step 3 ("Inventory Pick List" tab):</t>
    </r>
    <r>
      <rPr>
        <sz val="12"/>
        <rFont val="Helvetica Light"/>
      </rPr>
      <t xml:space="preserve">
Help your team easily pick and pack orders with this tab. Choose the desired item SKU from the dropdown menu - you just manually input the order number and the quantity to be picked.
</t>
    </r>
    <r>
      <rPr>
        <b/>
        <sz val="12"/>
        <rFont val="Georgia"/>
        <family val="1"/>
      </rPr>
      <t>REMEMBER:</t>
    </r>
    <r>
      <rPr>
        <b/>
        <sz val="12"/>
        <rFont val="Helvetica light"/>
      </rPr>
      <t xml:space="preserve"> </t>
    </r>
    <r>
      <rPr>
        <sz val="12"/>
        <rFont val="Helvetica Light"/>
      </rPr>
      <t xml:space="preserve">You will need to manually update the quantities on hand in the "inventory list" tab each time an order is completed or the pick list is cleared. </t>
    </r>
  </si>
  <si>
    <t xml:space="preserve">If you have questions about inventory tracking, reach out to me or my team by clicking here &gt;&gt; </t>
  </si>
  <si>
    <r>
      <rPr>
        <b/>
        <i/>
        <sz val="12"/>
        <color theme="1"/>
        <rFont val="Georgia"/>
        <family val="1"/>
      </rPr>
      <t xml:space="preserve">Out of 1,000 small business owners: </t>
    </r>
    <r>
      <rPr>
        <sz val="12"/>
        <color theme="1"/>
        <rFont val="Helvetica Light"/>
      </rPr>
      <t xml:space="preserve">
</t>
    </r>
    <r>
      <rPr>
        <b/>
        <i/>
        <sz val="16"/>
        <color theme="1"/>
        <rFont val="Georgia"/>
        <family val="1"/>
      </rPr>
      <t xml:space="preserve">21% </t>
    </r>
    <r>
      <rPr>
        <sz val="12"/>
        <color theme="1"/>
        <rFont val="Helvetica Light"/>
      </rPr>
      <t xml:space="preserve">of small to medium businesses use a spreadsheet program like Excel to track and manage their inventory.
</t>
    </r>
    <r>
      <rPr>
        <b/>
        <i/>
        <sz val="16"/>
        <color theme="1"/>
        <rFont val="Georgia"/>
        <family val="1"/>
      </rPr>
      <t xml:space="preserve">29% </t>
    </r>
    <r>
      <rPr>
        <sz val="12"/>
        <color theme="1"/>
        <rFont val="Helvetica Light"/>
      </rPr>
      <t xml:space="preserve">of small businesses </t>
    </r>
    <r>
      <rPr>
        <b/>
        <sz val="12"/>
        <color theme="1"/>
        <rFont val="Helvetica Light"/>
      </rPr>
      <t xml:space="preserve">DO NOT </t>
    </r>
    <r>
      <rPr>
        <sz val="12"/>
        <color theme="1"/>
        <rFont val="Helvetica Light"/>
      </rPr>
      <t>track their inventory or use a spreadsheet program to track their inventory.
If you have any questions about inventory tracking, please don't hesitate to reach out to the Warehouse Anywhere team by clicking the link below. We help businesses of all sizes to start leveraging systems and processes to increase visibility with repeatable systems.</t>
    </r>
  </si>
  <si>
    <t>TP001-1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</si>
</sst>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164" formatCode="&quot;$&quot;#,##0.00"/>
    <numFmt numFmtId="165" formatCode="&quot;Reorder&quot;;&quot;&quot;;&quot;&quot;"/>
    <numFmt numFmtId="166" formatCode="&quot;&quot;;&quot;&quot;;&quot;Clear Pick List Selected in B2&quot;"/>
    <numFmt numFmtId="167" formatCode="&quot;Pick List was cleared&quot;;&quot;&quot;;&quot;Pick List was not cleared&quot;"/>
  </numFmts>
  <fonts count="32">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
      <sz val="16"/>
      <color rgb="FF009DEB"/>
      <name val="Franklin Gothic Medium"/>
      <family val="2"/>
      <scheme val="major"/>
    </font>
    <font>
      <sz val="12"/>
      <color theme="0"/>
      <name val="Georgia"/>
      <family val="1"/>
    </font>
    <font>
      <i/>
      <sz val="14"/>
      <color theme="0"/>
      <name val="Georgia"/>
      <family val="1"/>
    </font>
    <font>
      <sz val="20"/>
      <color theme="0"/>
      <name val="Arial Black"/>
      <family val="2"/>
    </font>
    <font>
      <sz val="12"/>
      <color theme="1"/>
      <name val="Helvetica"/>
    </font>
    <font>
      <sz val="20"/>
      <color theme="0"/>
      <name val="Helvetica"/>
    </font>
    <font>
      <b/>
      <sz val="14"/>
      <color theme="0"/>
      <name val="Georgia"/>
      <family val="1"/>
    </font>
    <font>
      <sz val="12"/>
      <color theme="1" tint="0.249977111117893"/>
      <name val="Helvetica Light"/>
    </font>
    <font>
      <sz val="12"/>
      <name val="Helvetica Light"/>
    </font>
    <font>
      <b/>
      <sz val="12"/>
      <name val="Georgia"/>
      <family val="1"/>
    </font>
    <font>
      <b/>
      <sz val="14"/>
      <name val="Georgia"/>
      <family val="1"/>
    </font>
    <font>
      <b/>
      <i/>
      <sz val="12"/>
      <color theme="1"/>
      <name val="Georgia"/>
      <family val="1"/>
    </font>
    <font>
      <sz val="12"/>
      <color theme="1"/>
      <name val="Helvetica Light"/>
    </font>
    <font>
      <b/>
      <i/>
      <sz val="16"/>
      <color theme="1"/>
      <name val="Georgia"/>
      <family val="1"/>
    </font>
    <font>
      <sz val="14"/>
      <name val="Helvetica"/>
    </font>
    <font>
      <b/>
      <sz val="12"/>
      <color rgb="FF0BB3E5"/>
      <name val="Helvetica"/>
    </font>
    <font>
      <sz val="14"/>
      <color theme="0"/>
      <name val="Helvetica Light"/>
    </font>
    <font>
      <b/>
      <sz val="12"/>
      <color theme="1"/>
      <name val="Helvetica Light"/>
    </font>
    <font>
      <i/>
      <sz val="12"/>
      <color theme="1"/>
      <name val="Georgia"/>
      <family val="1"/>
    </font>
    <font>
      <b/>
      <sz val="12"/>
      <name val="Helvetica light"/>
    </font>
  </fonts>
  <fills count="6">
    <fill>
      <patternFill patternType="none"/>
    </fill>
    <fill>
      <patternFill patternType="gray125"/>
    </fill>
    <fill>
      <patternFill patternType="solid">
        <fgColor theme="4" tint="-0.499984740745262"/>
        <bgColor indexed="64"/>
      </patternFill>
    </fill>
    <fill>
      <patternFill patternType="solid">
        <fgColor rgb="FF009DEB"/>
        <bgColor indexed="64"/>
      </patternFill>
    </fill>
    <fill>
      <patternFill patternType="solid">
        <fgColor theme="1" tint="0.249977111117893"/>
        <bgColor indexed="64"/>
      </patternFill>
    </fill>
    <fill>
      <patternFill patternType="solid">
        <fgColor theme="0"/>
        <bgColor indexed="64"/>
      </patternFill>
    </fill>
  </fills>
  <borders count="3">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s>
  <cellStyleXfs count="16">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5"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7" fontId="7" fillId="0" borderId="0">
      <alignment horizontal="right" vertical="center"/>
    </xf>
    <xf numFmtId="0" fontId="8" fillId="0" borderId="0" applyNumberFormat="0" applyFill="0" applyBorder="0">
      <alignment horizontal="center"/>
    </xf>
  </cellStyleXfs>
  <cellXfs count="38">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5" fontId="11" fillId="0" borderId="0" xfId="7">
      <alignment horizontal="center" vertical="center"/>
    </xf>
    <xf numFmtId="0" fontId="1" fillId="0" borderId="0" xfId="0" applyFont="1" applyAlignment="1">
      <alignment vertical="center"/>
    </xf>
    <xf numFmtId="0" fontId="7" fillId="0" borderId="0" xfId="12">
      <alignment horizontal="left" vertical="center" wrapText="1" indent="1"/>
    </xf>
    <xf numFmtId="1" fontId="7" fillId="0" borderId="0" xfId="13">
      <alignment horizontal="center" vertical="center"/>
    </xf>
    <xf numFmtId="7" fontId="7" fillId="0" borderId="0" xfId="14">
      <alignment horizontal="right" vertical="center"/>
    </xf>
    <xf numFmtId="0" fontId="0" fillId="0" borderId="0" xfId="12" applyFont="1">
      <alignment horizontal="left" vertical="center" wrapText="1" indent="1"/>
    </xf>
    <xf numFmtId="166" fontId="0" fillId="0" borderId="0" xfId="0" applyNumberFormat="1">
      <alignment vertical="center"/>
    </xf>
    <xf numFmtId="167" fontId="0" fillId="0" borderId="0" xfId="0" applyNumberFormat="1">
      <alignment vertical="center"/>
    </xf>
    <xf numFmtId="0" fontId="8" fillId="0" borderId="0" xfId="15">
      <alignment horizontal="center"/>
    </xf>
    <xf numFmtId="0" fontId="9" fillId="3" borderId="0" xfId="2" applyFill="1">
      <alignment horizontal="left" vertical="center" indent="1"/>
    </xf>
    <xf numFmtId="164" fontId="12" fillId="0" borderId="0" xfId="11" applyNumberFormat="1" applyFont="1">
      <alignment horizontal="left" vertical="top"/>
    </xf>
    <xf numFmtId="0" fontId="12" fillId="0" borderId="0" xfId="11" applyFont="1">
      <alignment horizontal="left" vertical="top"/>
    </xf>
    <xf numFmtId="0" fontId="0" fillId="3" borderId="0" xfId="0" applyFont="1" applyFill="1" applyBorder="1" applyAlignment="1">
      <alignment horizontal="left" vertical="center" indent="1"/>
    </xf>
    <xf numFmtId="0" fontId="0" fillId="3" borderId="0" xfId="0" applyFont="1" applyFill="1" applyBorder="1" applyAlignment="1">
      <alignment horizontal="center"/>
    </xf>
    <xf numFmtId="0" fontId="16" fillId="4" borderId="0" xfId="0" applyFont="1" applyFill="1" applyAlignment="1">
      <alignment wrapText="1"/>
    </xf>
    <xf numFmtId="0" fontId="16" fillId="0" borderId="0" xfId="0" applyFont="1" applyFill="1" applyAlignment="1">
      <alignment wrapText="1"/>
    </xf>
    <xf numFmtId="0" fontId="18" fillId="4" borderId="0" xfId="0" applyNumberFormat="1" applyFont="1" applyFill="1" applyBorder="1" applyAlignment="1">
      <alignment horizontal="left" vertical="center" wrapText="1"/>
    </xf>
    <xf numFmtId="0" fontId="19" fillId="5" borderId="0" xfId="0" applyFont="1" applyFill="1" applyBorder="1" applyAlignment="1">
      <alignment horizontal="left" vertical="top" wrapText="1"/>
    </xf>
    <xf numFmtId="0" fontId="16" fillId="0" borderId="0" xfId="0" applyNumberFormat="1" applyFont="1" applyAlignment="1">
      <alignment wrapText="1"/>
    </xf>
    <xf numFmtId="0" fontId="16" fillId="0" borderId="0" xfId="0" applyFont="1" applyAlignment="1">
      <alignment wrapText="1"/>
    </xf>
    <xf numFmtId="0" fontId="26" fillId="0" borderId="0" xfId="0" applyFont="1" applyFill="1" applyAlignment="1">
      <alignment horizontal="center" vertical="center" wrapText="1"/>
    </xf>
    <xf numFmtId="0" fontId="28" fillId="0" borderId="0" xfId="0" applyFont="1" applyFill="1" applyAlignment="1">
      <alignment horizontal="center" vertical="center" wrapText="1"/>
    </xf>
    <xf numFmtId="0" fontId="15" fillId="3" borderId="0" xfId="0" applyFont="1" applyFill="1" applyAlignment="1">
      <alignment horizontal="left" vertical="center" wrapText="1"/>
    </xf>
    <xf numFmtId="0" fontId="17" fillId="3" borderId="0" xfId="0" applyFont="1" applyFill="1" applyAlignment="1">
      <alignment vertical="center" wrapText="1"/>
    </xf>
    <xf numFmtId="0" fontId="30" fillId="5" borderId="0" xfId="0" applyFont="1" applyFill="1" applyBorder="1" applyAlignment="1">
      <alignment horizontal="left" vertical="top" wrapText="1"/>
    </xf>
    <xf numFmtId="0" fontId="8" fillId="0" borderId="0" xfId="9" applyFont="1" applyFill="1" applyAlignment="1"/>
    <xf numFmtId="0" fontId="13" fillId="4" borderId="0" xfId="0" applyFont="1" applyFill="1" applyAlignment="1">
      <alignment horizontal="left" vertical="center" wrapText="1"/>
    </xf>
    <xf numFmtId="0" fontId="27" fillId="0" borderId="0" xfId="0" applyFont="1" applyFill="1" applyAlignment="1">
      <alignment horizontal="left" vertical="top" wrapText="1"/>
    </xf>
    <xf numFmtId="0" fontId="20" fillId="0" borderId="0" xfId="0" applyFont="1" applyFill="1" applyAlignment="1">
      <alignment horizontal="left" vertical="top" wrapText="1"/>
    </xf>
    <xf numFmtId="0" fontId="16" fillId="0" borderId="0" xfId="0" applyFont="1" applyFill="1" applyAlignment="1">
      <alignment wrapText="1"/>
    </xf>
    <xf numFmtId="0" fontId="0" fillId="0" borderId="0" xfId="0" applyAlignment="1">
      <alignment wrapText="1"/>
    </xf>
    <xf numFmtId="0" fontId="8" fillId="3" borderId="0" xfId="9" applyFont="1" applyFill="1" applyAlignment="1">
      <alignment horizontal="center" vertical="center"/>
    </xf>
  </cellXfs>
  <cellStyles count="16">
    <cellStyle name="Flag Column" xfId="7"/>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cellStyle name="Table details left aligned" xfId="12"/>
    <cellStyle name="Table details right aligned" xfId="14"/>
    <cellStyle name="Title" xfId="1" builtinId="15" customBuiltin="1"/>
    <cellStyle name="Total" xfId="6" builtinId="25" customBuiltin="1"/>
    <cellStyle name="Total counts" xfId="11"/>
    <cellStyle name="zHide navigation link text" xfId="15"/>
  </cellStyles>
  <dxfs count="18">
    <dxf>
      <numFmt numFmtId="0" formatCode="General"/>
    </dxf>
    <dxf>
      <numFmt numFmtId="0" formatCode="General"/>
    </dxf>
    <dxf>
      <numFmt numFmtId="0" formatCode="General"/>
    </dxf>
    <dxf>
      <numFmt numFmtId="0" formatCode="General"/>
    </dxf>
    <dxf>
      <numFmt numFmtId="1" formatCode="0"/>
    </dxf>
    <dxf>
      <font>
        <b/>
        <i val="0"/>
        <color rgb="FFFF0000"/>
      </font>
    </dxf>
    <dxf>
      <font>
        <b/>
        <i val="0"/>
        <color rgb="FFFF0000"/>
      </font>
    </dxf>
    <dxf>
      <fill>
        <patternFill patternType="solid">
          <fgColor indexed="64"/>
          <bgColor rgb="FF009DEB"/>
        </patternFill>
      </fill>
    </dxf>
    <dxf>
      <font>
        <b/>
        <i val="0"/>
        <color rgb="FFFF0000"/>
      </font>
    </dxf>
    <dxf>
      <alignment vertical="center" textRotation="0" wrapText="0" indent="0" justifyLastLine="0" shrinkToFit="0" readingOrder="0"/>
    </dxf>
    <dxf>
      <fill>
        <patternFill patternType="solid">
          <fgColor indexed="64"/>
          <bgColor rgb="FF009DEB"/>
        </patternFill>
      </fill>
    </dxf>
    <dxf>
      <font>
        <b/>
        <i val="0"/>
      </font>
    </dxf>
    <dxf>
      <fill>
        <patternFill>
          <bgColor theme="5" tint="0.59996337778862885"/>
        </patternFill>
      </fill>
    </dxf>
    <dxf>
      <fill>
        <patternFill patternType="solid">
          <fgColor indexed="64"/>
          <bgColor rgb="FF009DEB"/>
        </patternFill>
      </fill>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Warehouse Inventory" defaultPivotStyle="PivotStyleMedium2">
    <tableStyle name="Warehouse Inventory" pivot="0" count="4">
      <tableStyleElement type="wholeTable" dxfId="17"/>
      <tableStyleElement type="headerRow" dxfId="16"/>
      <tableStyleElement type="lastColumn" dxfId="15"/>
      <tableStyleElement type="secondRowStripe" dxfId="14"/>
    </tableStyle>
  </tableStyles>
  <colors>
    <mruColors>
      <color rgb="FF009D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warehouseanywhere.com/"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Inventory List'!A1"/></Relationships>
</file>

<file path=xl/drawings/_rels/drawing3.xml.rels><?xml version="1.0" encoding="UTF-8" standalone="yes"?>
<Relationships xmlns="http://schemas.openxmlformats.org/package/2006/relationships"><Relationship Id="rId2" Type="http://schemas.openxmlformats.org/officeDocument/2006/relationships/hyperlink" Target="#'Bin Lookup'!A1"/><Relationship Id="rId1" Type="http://schemas.openxmlformats.org/officeDocument/2006/relationships/hyperlink" Target="#'Inventory Pick List'!A1"/></Relationships>
</file>

<file path=xl/drawings/_rels/drawing4.xml.rels><?xml version="1.0" encoding="UTF-8" standalone="yes"?>
<Relationships xmlns="http://schemas.openxmlformats.org/package/2006/relationships"><Relationship Id="rId1" Type="http://schemas.openxmlformats.org/officeDocument/2006/relationships/hyperlink" Target="#'Inventory List'!A1"/></Relationships>
</file>

<file path=xl/drawings/drawing1.xml><?xml version="1.0" encoding="utf-8"?>
<xdr:wsDr xmlns:xdr="http://schemas.openxmlformats.org/drawingml/2006/spreadsheetDrawing" xmlns:a="http://schemas.openxmlformats.org/drawingml/2006/main">
  <xdr:twoCellAnchor editAs="oneCell">
    <xdr:from>
      <xdr:col>3</xdr:col>
      <xdr:colOff>4044176</xdr:colOff>
      <xdr:row>0</xdr:row>
      <xdr:rowOff>0</xdr:rowOff>
    </xdr:from>
    <xdr:to>
      <xdr:col>4</xdr:col>
      <xdr:colOff>28439</xdr:colOff>
      <xdr:row>0</xdr:row>
      <xdr:rowOff>533400</xdr:rowOff>
    </xdr:to>
    <xdr:pic>
      <xdr:nvPicPr>
        <xdr:cNvPr id="8" name="Picture 7">
          <a:hlinkClick xmlns:r="http://schemas.openxmlformats.org/officeDocument/2006/relationships" r:id="rId1"/>
          <a:extLst>
            <a:ext uri="{FF2B5EF4-FFF2-40B4-BE49-F238E27FC236}">
              <a16:creationId xmlns:a16="http://schemas.microsoft.com/office/drawing/2014/main" xmlns="" id="{9B77EE4E-C9CF-46BB-A094-C755C73AC49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79316" y="0"/>
          <a:ext cx="2880363" cy="533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xmlns="" id="{00000000-0008-0000-0200-000002000000}"/>
            </a:ext>
          </a:extLst>
        </xdr:cNvPr>
        <xdr:cNvSpPr/>
      </xdr:nvSpPr>
      <xdr:spPr>
        <a:xfrm>
          <a:off x="190500" y="752475"/>
          <a:ext cx="1737360" cy="228600"/>
        </a:xfrm>
        <a:prstGeom prst="homePlate">
          <a:avLst/>
        </a:prstGeom>
        <a:solidFill>
          <a:srgbClr val="009DEB"/>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117729</xdr:colOff>
      <xdr:row>1</xdr:row>
      <xdr:rowOff>66674</xdr:rowOff>
    </xdr:from>
    <xdr:to>
      <xdr:col>5</xdr:col>
      <xdr:colOff>1855089</xdr:colOff>
      <xdr:row>1</xdr:row>
      <xdr:rowOff>295274</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xmlns="" id="{00000000-0008-0000-0000-00000B000000}"/>
            </a:ext>
          </a:extLst>
        </xdr:cNvPr>
        <xdr:cNvSpPr/>
      </xdr:nvSpPr>
      <xdr:spPr>
        <a:xfrm>
          <a:off x="7432929" y="752474"/>
          <a:ext cx="1737360" cy="228600"/>
        </a:xfrm>
        <a:prstGeom prst="homePlate">
          <a:avLst/>
        </a:prstGeom>
        <a:solidFill>
          <a:srgbClr val="009DEB"/>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4</xdr:col>
      <xdr:colOff>32004</xdr:colOff>
      <xdr:row>1</xdr:row>
      <xdr:rowOff>66674</xdr:rowOff>
    </xdr:from>
    <xdr:to>
      <xdr:col>4</xdr:col>
      <xdr:colOff>1769364</xdr:colOff>
      <xdr:row>1</xdr:row>
      <xdr:rowOff>295274</xdr:rowOff>
    </xdr:to>
    <xdr:sp macro="" textlink="">
      <xdr:nvSpPr>
        <xdr:cNvPr id="12" name="Inventory List" descr="Navigation shape to view Bin Lookup">
          <a:hlinkClick xmlns:r="http://schemas.openxmlformats.org/officeDocument/2006/relationships" r:id="rId2" tooltip="Select to add or modify Bin Lookup information"/>
          <a:extLst>
            <a:ext uri="{FF2B5EF4-FFF2-40B4-BE49-F238E27FC236}">
              <a16:creationId xmlns:a16="http://schemas.microsoft.com/office/drawing/2014/main" xmlns="" id="{00000000-0008-0000-0000-00000C000000}"/>
            </a:ext>
          </a:extLst>
        </xdr:cNvPr>
        <xdr:cNvSpPr/>
      </xdr:nvSpPr>
      <xdr:spPr>
        <a:xfrm flipH="1">
          <a:off x="5537454" y="752474"/>
          <a:ext cx="1737360" cy="228600"/>
        </a:xfrm>
        <a:prstGeom prst="homePlate">
          <a:avLst/>
        </a:prstGeom>
        <a:solidFill>
          <a:srgbClr val="009DEB"/>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BIN</a:t>
          </a:r>
          <a:r>
            <a:rPr lang="en-US" sz="1100" baseline="0">
              <a:solidFill>
                <a:schemeClr val="lt1"/>
              </a:solidFill>
              <a:latin typeface="+mn-lt"/>
              <a:ea typeface="+mn-ea"/>
              <a:cs typeface="+mn-cs"/>
            </a:rPr>
            <a:t> LOOKUP</a:t>
          </a:r>
          <a:endParaRPr lang="en-US" sz="1100">
            <a:solidFill>
              <a:schemeClr val="lt1"/>
            </a:solidFill>
            <a:latin typeface="+mn-lt"/>
            <a:ea typeface="+mn-ea"/>
            <a:cs typeface="+mn-cs"/>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xmlns="" id="{00000000-0008-0000-0100-000003000000}"/>
            </a:ext>
          </a:extLst>
        </xdr:cNvPr>
        <xdr:cNvSpPr/>
      </xdr:nvSpPr>
      <xdr:spPr>
        <a:xfrm flipH="1">
          <a:off x="2019299" y="752475"/>
          <a:ext cx="1737360" cy="228600"/>
        </a:xfrm>
        <a:prstGeom prst="homePlate">
          <a:avLst/>
        </a:prstGeom>
        <a:solidFill>
          <a:srgbClr val="009DEB"/>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xmlns="" id="{00000000-0008-0000-0100-000005000000}"/>
            </a:ext>
          </a:extLst>
        </xdr:cNvPr>
        <xdr:cNvSpPr/>
      </xdr:nvSpPr>
      <xdr:spPr>
        <a:xfrm flipH="1">
          <a:off x="190499" y="762000"/>
          <a:ext cx="1737360" cy="228600"/>
        </a:xfrm>
        <a:prstGeom prst="homePlate">
          <a:avLst/>
        </a:prstGeom>
        <a:solidFill>
          <a:srgbClr val="009DEB"/>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A-Inventory-Tracking-Spread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Bin Lookup"/>
      <sheetName val="Inventory List"/>
      <sheetName val="Inventory Pick List"/>
    </sheetNames>
    <sheetDataSet>
      <sheetData sheetId="0"/>
      <sheetData sheetId="1"/>
      <sheetData sheetId="2"/>
      <sheetData sheetId="3"/>
    </sheetDataSet>
  </externalBook>
</externalLink>
</file>

<file path=xl/tables/table1.xml><?xml version="1.0" encoding="utf-8"?>
<table xmlns="http://schemas.openxmlformats.org/spreadsheetml/2006/main" id="3" name="BinLookup" displayName="BinLookup" ref="B4:G11" headerRowDxfId="13">
  <autoFilter ref="B4:G11"/>
  <tableColumns count="6">
    <tableColumn id="1" name="BIN #" totalsRowLabel="Total" dataCellStyle="Table details left aligned"/>
    <tableColumn id="2" name="DESCRIPTION" dataCellStyle="Table details left aligned"/>
    <tableColumn id="6" name="LOCATION" dataCellStyle="Table details left aligned"/>
    <tableColumn id="3" name="WIDTH" dataCellStyle="Table details center aligned"/>
    <tableColumn id="4" name="HEIGHT" dataCellStyle="Table details center aligned"/>
    <tableColumn id="5" name="LENGTH" totalsRowFunction="sum" dataCellStyle="Table details center aligned"/>
  </tableColumns>
  <tableStyleInfo name="Warehouse Inventory"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ables/table2.xml><?xml version="1.0" encoding="utf-8"?>
<table xmlns="http://schemas.openxmlformats.org/spreadsheetml/2006/main" id="1" name="InventoryList" displayName="InventoryList" ref="B4:K15" headerRowDxfId="10" totalsRowDxfId="9" headerRowCellStyle="Heading 1">
  <autoFilter ref="B4:K15"/>
  <sortState ref="B3:F12">
    <sortCondition ref="C2:C12"/>
  </sortState>
  <tableColumns count="10">
    <tableColumn id="1" name="SKU" totalsRowLabel="Totals" dataCellStyle="Table details left aligned"/>
    <tableColumn id="2" name="DESCRIPTION" dataCellStyle="Table details left aligned"/>
    <tableColumn id="3" name="BIN #" dataCellStyle="Table details left aligned"/>
    <tableColumn id="4" name="LOCATION" dataCellStyle="Table details left aligned">
      <calculatedColumnFormula>IFERROR(VLOOKUP(InventoryList[[#This Row],[BIN '#]],BinLookup[],3,FALSE),"")</calculatedColumnFormula>
    </tableColumn>
    <tableColumn id="5" name="UNIT" dataCellStyle="Table details left aligned"/>
    <tableColumn id="6" name="AVAILABLE QTY" dataCellStyle="Table details center aligned"/>
    <tableColumn id="8" name="REORDER QTY" dataCellStyle="Table details center aligned"/>
    <tableColumn id="7" name="COST" dataCellStyle="Table details right aligned"/>
    <tableColumn id="10" name="INVENTORY VALUE" dataCellStyle="Table details right aligned">
      <calculatedColumnFormula>InventoryList[[#This Row],[AVAILABLE QTY]]*InventoryList[[#This Row],[COST]]</calculatedColumnFormula>
    </tableColumn>
    <tableColumn id="9" name="REORDER" dataCellStyle="Flag Column">
      <calculatedColumnFormula>IFERROR(IF(InventoryList[[#This Row],[AVAILABLE QTY]]&lt;=InventoryList[[#This Row],[REORDER QTY]],1,0),0)</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List of inventory items and details such as SKU, description, bin number, location, unit, quantity, reorder quantity, cost, inventory value and reorder status"/>
    </ext>
  </extLst>
</table>
</file>

<file path=xl/tables/table3.xml><?xml version="1.0" encoding="utf-8"?>
<table xmlns="http://schemas.openxmlformats.org/spreadsheetml/2006/main" id="4" name="InventoryPickList" displayName="InventoryPickList" ref="B4:I9" totalsRowShown="0" headerRowDxfId="7" headerRowCellStyle="Heading 1">
  <autoFilter ref="B4:I9"/>
  <sortState ref="B3:I7">
    <sortCondition ref="I2:I7"/>
  </sortState>
  <tableColumns count="8">
    <tableColumn id="9" name="ORDER #" dataCellStyle="Table details left aligned"/>
    <tableColumn id="1" name="SKU" dataCellStyle="Table details left aligned"/>
    <tableColumn id="6" name="PICK QTY" dataCellStyle="Table details center aligned"/>
    <tableColumn id="7" name="QTY AVAILABLE" dataDxfId="4" dataCellStyle="Table details center aligned">
      <calculatedColumnFormula>IFERROR(VLOOKUP([1]!InventoryPickList[SKU],[1]!InventoryList[#Data],6,FALSE),"")</calculatedColumnFormula>
    </tableColumn>
    <tableColumn id="2" name="ITEM DESCRIPTION" dataDxfId="3" dataCellStyle="Table details left aligned">
      <calculatedColumnFormula>IFERROR(VLOOKUP([1]!InventoryPickList[SKU],[1]!InventoryList[#Data],2,FALSE),"")</calculatedColumnFormula>
    </tableColumn>
    <tableColumn id="8" name="UNIT" dataDxfId="2" dataCellStyle="Table details left aligned">
      <calculatedColumnFormula>IFERROR(VLOOKUP([1]!InventoryPickList[SKU],[1]!InventoryList[#Data],5,FALSE),"")</calculatedColumnFormula>
    </tableColumn>
    <tableColumn id="3" name="BIN #" dataDxfId="1" dataCellStyle="Table details left aligned">
      <calculatedColumnFormula>IFERROR(VLOOKUP([1]!InventoryPickList[SKU],[1]!InventoryList[#Data],3,FALSE),"")</calculatedColumnFormula>
    </tableColumn>
    <tableColumn id="4" name="LOCATION" dataDxfId="0" dataCellStyle="Table details left aligned">
      <calculatedColumnFormula>IFERROR(VLOOKUP([1]!InventoryPickList[SKU],[1]!InventoryList[#Data],4,FALSE),"")</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Inventory items for order fulfillment along with details for each item such as order number, SKU, pick quantity, quantity available, item description, unit, bin number and location. To clear the list, select the option in cell B2"/>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arehouseanywhere.com/contact/?utm_source=resource-library&amp;utm_medium=freebie&amp;utm_campaign=inventory-tracking-spreadsheet&amp;utm_content=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9DEB"/>
  </sheetPr>
  <dimension ref="A1:G9"/>
  <sheetViews>
    <sheetView tabSelected="1" workbookViewId="0">
      <selection activeCell="D10" sqref="D10"/>
    </sheetView>
  </sheetViews>
  <sheetFormatPr defaultColWidth="9.88671875" defaultRowHeight="15"/>
  <cols>
    <col min="1" max="1" width="4.88671875" style="25" customWidth="1"/>
    <col min="2" max="2" width="71.77734375" style="25" customWidth="1"/>
    <col min="3" max="3" width="4.88671875" style="25" customWidth="1"/>
    <col min="4" max="4" width="82.21875" style="21" customWidth="1"/>
    <col min="5" max="5" width="5.33203125" style="21" customWidth="1"/>
    <col min="6" max="16384" width="9.88671875" style="25"/>
  </cols>
  <sheetData>
    <row r="1" spans="1:7" s="20" customFormat="1" ht="42.95" customHeight="1">
      <c r="B1" s="32" t="s">
        <v>63</v>
      </c>
      <c r="C1" s="32"/>
      <c r="D1" s="32"/>
    </row>
    <row r="2" spans="1:7" s="29" customFormat="1" ht="14.65" customHeight="1">
      <c r="B2" s="28"/>
      <c r="C2" s="28"/>
      <c r="D2" s="28"/>
      <c r="E2" s="28"/>
      <c r="F2" s="28"/>
      <c r="G2" s="28"/>
    </row>
    <row r="3" spans="1:7" s="21" customFormat="1"/>
    <row r="4" spans="1:7" s="21" customFormat="1" ht="18">
      <c r="B4" s="22" t="s">
        <v>66</v>
      </c>
      <c r="D4" s="22" t="s">
        <v>65</v>
      </c>
    </row>
    <row r="5" spans="1:7" ht="225" customHeight="1">
      <c r="B5" s="23" t="s">
        <v>68</v>
      </c>
      <c r="C5" s="24"/>
      <c r="D5" s="34" t="s">
        <v>69</v>
      </c>
    </row>
    <row r="6" spans="1:7" ht="176.45" customHeight="1">
      <c r="B6" s="30" t="s">
        <v>71</v>
      </c>
      <c r="C6" s="26"/>
      <c r="D6" s="34"/>
      <c r="E6" s="35"/>
      <c r="F6" s="33"/>
    </row>
    <row r="7" spans="1:7" ht="18" customHeight="1">
      <c r="B7" s="27"/>
      <c r="C7" s="26"/>
      <c r="D7" s="34"/>
      <c r="E7" s="36"/>
      <c r="F7" s="33"/>
    </row>
    <row r="8" spans="1:7" s="31" customFormat="1" ht="16.149999999999999" customHeight="1">
      <c r="A8" s="37" t="s">
        <v>70</v>
      </c>
      <c r="B8" s="37"/>
      <c r="C8" s="37"/>
      <c r="D8" s="37"/>
    </row>
    <row r="9" spans="1:7" s="31" customFormat="1" ht="15.6" customHeight="1">
      <c r="A9" s="37"/>
      <c r="B9" s="37"/>
      <c r="C9" s="37"/>
      <c r="D9" s="37"/>
    </row>
  </sheetData>
  <mergeCells count="5">
    <mergeCell ref="A8:D9"/>
    <mergeCell ref="B1:D1"/>
    <mergeCell ref="F6:F7"/>
    <mergeCell ref="D5:D7"/>
    <mergeCell ref="E6:E7"/>
  </mergeCells>
  <hyperlinks>
    <hyperlink ref="A8:D9" r:id="rId1" display="If you have questions about inventory tracking, reach out to me or my team by clicking here &gt;&gt; "/>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inLookup">
    <tabColor rgb="FF009DEB"/>
    <pageSetUpPr autoPageBreaks="0"/>
  </sheetPr>
  <dimension ref="B1:G11"/>
  <sheetViews>
    <sheetView showGridLines="0" zoomScaleNormal="100" workbookViewId="0">
      <selection activeCell="C8" sqref="C8"/>
    </sheetView>
  </sheetViews>
  <sheetFormatPr defaultRowHeight="30" customHeight="1"/>
  <cols>
    <col min="1" max="1" width="1.88671875" customWidth="1"/>
    <col min="2" max="2" width="20.77734375" customWidth="1"/>
    <col min="3" max="3" width="19.44140625" customWidth="1"/>
    <col min="4" max="4" width="18.44140625" customWidth="1"/>
    <col min="5" max="7" width="11.88671875" customWidth="1"/>
  </cols>
  <sheetData>
    <row r="1" spans="2:7" ht="54" customHeight="1" thickBot="1">
      <c r="B1" s="3" t="s">
        <v>57</v>
      </c>
      <c r="C1" s="1"/>
      <c r="D1" s="1"/>
      <c r="E1" s="1"/>
      <c r="F1" s="1"/>
      <c r="G1" s="1"/>
    </row>
    <row r="2" spans="2:7" ht="24.95" customHeight="1">
      <c r="B2" s="14" t="s">
        <v>62</v>
      </c>
    </row>
    <row r="3" spans="2:7" ht="30" customHeight="1">
      <c r="B3" s="7"/>
      <c r="C3" s="7"/>
      <c r="D3" s="7"/>
      <c r="E3" s="7"/>
      <c r="F3" s="7"/>
      <c r="G3" s="7"/>
    </row>
    <row r="4" spans="2:7" ht="17.100000000000001" customHeight="1">
      <c r="B4" s="18" t="s">
        <v>44</v>
      </c>
      <c r="C4" s="18" t="s">
        <v>43</v>
      </c>
      <c r="D4" s="18" t="s">
        <v>45</v>
      </c>
      <c r="E4" s="19" t="s">
        <v>54</v>
      </c>
      <c r="F4" s="19" t="s">
        <v>55</v>
      </c>
      <c r="G4" s="19" t="s">
        <v>56</v>
      </c>
    </row>
    <row r="5" spans="2:7" ht="30" customHeight="1">
      <c r="B5" s="8" t="s">
        <v>1</v>
      </c>
      <c r="C5" s="8" t="s">
        <v>17</v>
      </c>
      <c r="D5" s="11" t="s">
        <v>20</v>
      </c>
      <c r="E5" s="9">
        <v>50</v>
      </c>
      <c r="F5" s="9">
        <v>10</v>
      </c>
      <c r="G5" s="9">
        <v>10</v>
      </c>
    </row>
    <row r="6" spans="2:7" ht="30" customHeight="1">
      <c r="B6" s="8" t="s">
        <v>2</v>
      </c>
      <c r="C6" s="8" t="s">
        <v>18</v>
      </c>
      <c r="D6" s="8" t="s">
        <v>24</v>
      </c>
      <c r="E6" s="9">
        <v>25</v>
      </c>
      <c r="F6" s="9">
        <v>5</v>
      </c>
      <c r="G6" s="9">
        <v>5</v>
      </c>
    </row>
    <row r="7" spans="2:7" ht="30" customHeight="1">
      <c r="B7" s="8" t="s">
        <v>3</v>
      </c>
      <c r="C7" s="8" t="s">
        <v>17</v>
      </c>
      <c r="D7" s="8" t="s">
        <v>21</v>
      </c>
      <c r="E7" s="9">
        <v>50</v>
      </c>
      <c r="F7" s="9">
        <v>10</v>
      </c>
      <c r="G7" s="9">
        <v>10</v>
      </c>
    </row>
    <row r="8" spans="2:7" ht="30" customHeight="1">
      <c r="B8" s="8" t="s">
        <v>5</v>
      </c>
      <c r="C8" s="11" t="s">
        <v>19</v>
      </c>
      <c r="D8" s="8" t="s">
        <v>23</v>
      </c>
      <c r="E8" s="9">
        <v>30</v>
      </c>
      <c r="F8" s="9">
        <v>7</v>
      </c>
      <c r="G8" s="9">
        <v>10</v>
      </c>
    </row>
    <row r="9" spans="2:7" ht="30" customHeight="1">
      <c r="B9" s="8" t="s">
        <v>6</v>
      </c>
      <c r="C9" s="8" t="s">
        <v>18</v>
      </c>
      <c r="D9" s="8" t="s">
        <v>25</v>
      </c>
      <c r="E9" s="9">
        <v>25</v>
      </c>
      <c r="F9" s="9">
        <v>5</v>
      </c>
      <c r="G9" s="9">
        <v>5</v>
      </c>
    </row>
    <row r="10" spans="2:7" ht="30" customHeight="1">
      <c r="B10" s="11" t="s">
        <v>64</v>
      </c>
      <c r="C10" s="8" t="s">
        <v>17</v>
      </c>
      <c r="D10" s="8" t="s">
        <v>22</v>
      </c>
      <c r="E10" s="9">
        <v>50</v>
      </c>
      <c r="F10" s="9">
        <v>10</v>
      </c>
      <c r="G10" s="9">
        <v>10</v>
      </c>
    </row>
    <row r="11" spans="2:7" ht="30" customHeight="1">
      <c r="B11" s="8" t="s">
        <v>7</v>
      </c>
      <c r="C11" s="8" t="s">
        <v>17</v>
      </c>
      <c r="D11" s="8" t="s">
        <v>26</v>
      </c>
      <c r="E11" s="9">
        <v>50</v>
      </c>
      <c r="F11" s="9">
        <v>10</v>
      </c>
      <c r="G11" s="9">
        <v>10</v>
      </c>
    </row>
  </sheetData>
  <dataValidations count="8">
    <dataValidation allowBlank="1" showInputMessage="1" showErrorMessage="1" prompt="This worksheet has a table that provides data for the inventory list and inventory pick list worksheets. A navigation link to Inventory List worksheet is in cell B2" sqref="A1"/>
    <dataValidation allowBlank="1" showInputMessage="1" showErrorMessage="1" prompt="Enter the bin number in this column" sqref="B4"/>
    <dataValidation allowBlank="1" showInputMessage="1" showErrorMessage="1" prompt="Enter a description of bin in this column" sqref="C4"/>
    <dataValidation allowBlank="1" showInputMessage="1" showErrorMessage="1" prompt="Enter the location of bin in this column" sqref="D4"/>
    <dataValidation allowBlank="1" showInputMessage="1" showErrorMessage="1" prompt="Enter width of bin in this column" sqref="E4"/>
    <dataValidation allowBlank="1" showInputMessage="1" showErrorMessage="1" prompt="Enter height of bin in this column" sqref="F4"/>
    <dataValidation allowBlank="1" showInputMessage="1" showErrorMessage="1" prompt="Enter length of bin in this column" sqref="G4"/>
    <dataValidation allowBlank="1" showInputMessage="1" showErrorMessage="1" prompt="Navigation link to Inventory List worksheet" sqref="B2"/>
  </dataValidations>
  <hyperlinks>
    <hyperlink ref="B2" location="'Inventory List'!A1" tooltip="Select to view Inventory List" display="INVENTORY LIST"/>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ventoryList">
    <tabColor rgb="FF009DEB"/>
    <pageSetUpPr autoPageBreaks="0" fitToPage="1"/>
  </sheetPr>
  <dimension ref="B1:K15"/>
  <sheetViews>
    <sheetView showGridLines="0" zoomScaleNormal="100" workbookViewId="0"/>
  </sheetViews>
  <sheetFormatPr defaultRowHeight="30" customHeight="1"/>
  <cols>
    <col min="1" max="1" width="1.88671875" customWidth="1"/>
    <col min="2" max="2" width="20.77734375" customWidth="1"/>
    <col min="3" max="3" width="27.44140625" customWidth="1"/>
    <col min="4" max="4" width="14.109375" customWidth="1"/>
    <col min="5" max="5" width="21.109375" customWidth="1"/>
    <col min="6" max="6" width="21.77734375" customWidth="1"/>
    <col min="7" max="8" width="15.6640625" customWidth="1"/>
    <col min="9" max="9" width="11.88671875" customWidth="1"/>
    <col min="10" max="10" width="18.6640625" customWidth="1"/>
    <col min="11" max="11" width="13.33203125" customWidth="1"/>
    <col min="12" max="13" width="16.109375" customWidth="1"/>
    <col min="14" max="14" width="11.44140625" customWidth="1"/>
  </cols>
  <sheetData>
    <row r="1" spans="2:11" ht="54" customHeight="1" thickBot="1">
      <c r="B1" s="5" t="s">
        <v>62</v>
      </c>
      <c r="C1" s="5"/>
      <c r="D1" s="5"/>
      <c r="E1" s="1"/>
      <c r="F1" s="1"/>
      <c r="G1" s="1"/>
      <c r="H1" s="1"/>
      <c r="I1" s="1"/>
      <c r="J1" s="1"/>
      <c r="K1" s="1"/>
    </row>
    <row r="2" spans="2:11" ht="24.95" customHeight="1">
      <c r="B2" s="2" t="s">
        <v>40</v>
      </c>
      <c r="C2" s="4" t="s">
        <v>42</v>
      </c>
      <c r="D2" s="2" t="s">
        <v>41</v>
      </c>
      <c r="E2" s="14" t="s">
        <v>53</v>
      </c>
      <c r="F2" s="14" t="s">
        <v>57</v>
      </c>
    </row>
    <row r="3" spans="2:11" ht="30" customHeight="1">
      <c r="B3" s="16">
        <f>SUM(InventoryList[INVENTORY VALUE])</f>
        <v>4649</v>
      </c>
      <c r="C3" s="17">
        <f>COUNTA(InventoryList[DESCRIPTION])</f>
        <v>11</v>
      </c>
      <c r="D3" s="17">
        <f>SUMPRODUCT((1/COUNTIF(InventoryList[BIN '#],InventoryList[BIN '#]&amp;"")))</f>
        <v>7</v>
      </c>
    </row>
    <row r="4" spans="2:11" ht="17.100000000000001" customHeight="1">
      <c r="B4" s="15" t="s">
        <v>0</v>
      </c>
      <c r="C4" s="15" t="s">
        <v>43</v>
      </c>
      <c r="D4" s="15" t="s">
        <v>44</v>
      </c>
      <c r="E4" s="15" t="s">
        <v>45</v>
      </c>
      <c r="F4" s="15" t="s">
        <v>46</v>
      </c>
      <c r="G4" s="15" t="s">
        <v>67</v>
      </c>
      <c r="H4" s="15" t="s">
        <v>47</v>
      </c>
      <c r="I4" s="15" t="s">
        <v>48</v>
      </c>
      <c r="J4" s="15" t="s">
        <v>49</v>
      </c>
      <c r="K4" s="15" t="s">
        <v>50</v>
      </c>
    </row>
    <row r="5" spans="2:11" ht="30" customHeight="1">
      <c r="B5" s="8" t="s">
        <v>31</v>
      </c>
      <c r="C5" s="8" t="s">
        <v>8</v>
      </c>
      <c r="D5" s="8" t="s">
        <v>1</v>
      </c>
      <c r="E5" s="8" t="str">
        <f>IFERROR(VLOOKUP(InventoryList[[#This Row],[BIN '#]],BinLookup[],3,FALSE),"")</f>
        <v>Row 2, slot 1</v>
      </c>
      <c r="F5" s="8" t="s">
        <v>27</v>
      </c>
      <c r="G5" s="9">
        <v>20</v>
      </c>
      <c r="H5" s="9">
        <v>10</v>
      </c>
      <c r="I5" s="10">
        <v>30</v>
      </c>
      <c r="J5" s="10">
        <f>InventoryList[[#This Row],[AVAILABLE QTY]]*InventoryList[[#This Row],[COST]]</f>
        <v>600</v>
      </c>
      <c r="K5" s="6">
        <f>IFERROR(IF(InventoryList[[#This Row],[AVAILABLE QTY]]&lt;=InventoryList[[#This Row],[REORDER QTY]],1,0),0)</f>
        <v>0</v>
      </c>
    </row>
    <row r="6" spans="2:11" ht="30" customHeight="1">
      <c r="B6" s="8" t="s">
        <v>32</v>
      </c>
      <c r="C6" s="8" t="s">
        <v>9</v>
      </c>
      <c r="D6" s="8" t="s">
        <v>1</v>
      </c>
      <c r="E6" s="8" t="str">
        <f>IFERROR(VLOOKUP(InventoryList[[#This Row],[BIN '#]],BinLookup[],3,FALSE),"")</f>
        <v>Row 2, slot 1</v>
      </c>
      <c r="F6" s="8" t="s">
        <v>27</v>
      </c>
      <c r="G6" s="9">
        <v>30</v>
      </c>
      <c r="H6" s="9">
        <v>15</v>
      </c>
      <c r="I6" s="10">
        <v>40</v>
      </c>
      <c r="J6" s="10">
        <f>InventoryList[[#This Row],[AVAILABLE QTY]]*InventoryList[[#This Row],[COST]]</f>
        <v>1200</v>
      </c>
      <c r="K6" s="6">
        <f>IFERROR(IF(InventoryList[[#This Row],[AVAILABLE QTY]]&lt;=InventoryList[[#This Row],[REORDER QTY]],1,0),0)</f>
        <v>0</v>
      </c>
    </row>
    <row r="7" spans="2:11" ht="30" customHeight="1">
      <c r="B7" s="8" t="s">
        <v>33</v>
      </c>
      <c r="C7" s="8" t="s">
        <v>4</v>
      </c>
      <c r="D7" s="8" t="s">
        <v>2</v>
      </c>
      <c r="E7" s="8" t="str">
        <f>IFERROR(VLOOKUP(InventoryList[[#This Row],[BIN '#]],BinLookup[],3,FALSE),"")</f>
        <v>Row 1, slot 1</v>
      </c>
      <c r="F7" s="8" t="s">
        <v>27</v>
      </c>
      <c r="G7" s="9">
        <v>10</v>
      </c>
      <c r="H7" s="9">
        <v>5</v>
      </c>
      <c r="I7" s="10">
        <v>5</v>
      </c>
      <c r="J7" s="10">
        <f>InventoryList[[#This Row],[AVAILABLE QTY]]*InventoryList[[#This Row],[COST]]</f>
        <v>50</v>
      </c>
      <c r="K7" s="6">
        <f>IFERROR(IF(InventoryList[[#This Row],[AVAILABLE QTY]]&lt;=InventoryList[[#This Row],[REORDER QTY]],1,0),0)</f>
        <v>0</v>
      </c>
    </row>
    <row r="8" spans="2:11" ht="30" customHeight="1">
      <c r="B8" s="8" t="s">
        <v>34</v>
      </c>
      <c r="C8" s="8" t="s">
        <v>10</v>
      </c>
      <c r="D8" s="8" t="s">
        <v>3</v>
      </c>
      <c r="E8" s="8" t="str">
        <f>IFERROR(VLOOKUP(InventoryList[[#This Row],[BIN '#]],BinLookup[],3,FALSE),"")</f>
        <v>Row 3, slot 2</v>
      </c>
      <c r="F8" s="8" t="s">
        <v>29</v>
      </c>
      <c r="G8" s="9">
        <v>40</v>
      </c>
      <c r="H8" s="9">
        <v>10</v>
      </c>
      <c r="I8" s="10">
        <v>15</v>
      </c>
      <c r="J8" s="10">
        <f>InventoryList[[#This Row],[AVAILABLE QTY]]*InventoryList[[#This Row],[COST]]</f>
        <v>600</v>
      </c>
      <c r="K8" s="6">
        <f>IFERROR(IF(InventoryList[[#This Row],[AVAILABLE QTY]]&lt;=InventoryList[[#This Row],[REORDER QTY]],1,0),0)</f>
        <v>0</v>
      </c>
    </row>
    <row r="9" spans="2:11" ht="30" customHeight="1">
      <c r="B9" s="8" t="s">
        <v>35</v>
      </c>
      <c r="C9" s="8" t="s">
        <v>11</v>
      </c>
      <c r="D9" s="8" t="s">
        <v>5</v>
      </c>
      <c r="E9" s="8" t="str">
        <f>IFERROR(VLOOKUP(InventoryList[[#This Row],[BIN '#]],BinLookup[],3,FALSE),"")</f>
        <v>Row 3, slot 1</v>
      </c>
      <c r="F9" s="8" t="s">
        <v>27</v>
      </c>
      <c r="G9" s="9">
        <v>12</v>
      </c>
      <c r="H9" s="9">
        <v>10</v>
      </c>
      <c r="I9" s="10">
        <v>26</v>
      </c>
      <c r="J9" s="10">
        <f>InventoryList[[#This Row],[AVAILABLE QTY]]*InventoryList[[#This Row],[COST]]</f>
        <v>312</v>
      </c>
      <c r="K9" s="6">
        <f>IFERROR(IF(InventoryList[[#This Row],[AVAILABLE QTY]]&lt;=InventoryList[[#This Row],[REORDER QTY]],1,0),0)</f>
        <v>0</v>
      </c>
    </row>
    <row r="10" spans="2:11" ht="30" customHeight="1">
      <c r="B10" s="8" t="s">
        <v>36</v>
      </c>
      <c r="C10" s="8" t="s">
        <v>12</v>
      </c>
      <c r="D10" s="8" t="s">
        <v>1</v>
      </c>
      <c r="E10" s="8" t="str">
        <f>IFERROR(VLOOKUP(InventoryList[[#This Row],[BIN '#]],BinLookup[],3,FALSE),"")</f>
        <v>Row 2, slot 1</v>
      </c>
      <c r="F10" s="8" t="s">
        <v>27</v>
      </c>
      <c r="G10" s="9">
        <v>7</v>
      </c>
      <c r="H10" s="9">
        <v>10</v>
      </c>
      <c r="I10" s="10">
        <v>50</v>
      </c>
      <c r="J10" s="10">
        <f>InventoryList[[#This Row],[AVAILABLE QTY]]*InventoryList[[#This Row],[COST]]</f>
        <v>350</v>
      </c>
      <c r="K10" s="6">
        <f>IFERROR(IF(InventoryList[[#This Row],[AVAILABLE QTY]]&lt;=InventoryList[[#This Row],[REORDER QTY]],1,0),0)</f>
        <v>1</v>
      </c>
    </row>
    <row r="11" spans="2:11" ht="30" customHeight="1">
      <c r="B11" s="8" t="s">
        <v>37</v>
      </c>
      <c r="C11" s="8" t="s">
        <v>13</v>
      </c>
      <c r="D11" s="8" t="s">
        <v>6</v>
      </c>
      <c r="E11" s="8" t="str">
        <f>IFERROR(VLOOKUP(InventoryList[[#This Row],[BIN '#]],BinLookup[],3,FALSE),"")</f>
        <v>Row 1, slot 2</v>
      </c>
      <c r="F11" s="8" t="s">
        <v>27</v>
      </c>
      <c r="G11" s="9">
        <v>10</v>
      </c>
      <c r="H11" s="9">
        <v>5</v>
      </c>
      <c r="I11" s="10">
        <v>10</v>
      </c>
      <c r="J11" s="10">
        <f>InventoryList[[#This Row],[AVAILABLE QTY]]*InventoryList[[#This Row],[COST]]</f>
        <v>100</v>
      </c>
      <c r="K11" s="6">
        <f>IFERROR(IF(InventoryList[[#This Row],[AVAILABLE QTY]]&lt;=InventoryList[[#This Row],[REORDER QTY]],1,0),0)</f>
        <v>0</v>
      </c>
    </row>
    <row r="12" spans="2:11" ht="30" customHeight="1">
      <c r="B12" s="8" t="s">
        <v>38</v>
      </c>
      <c r="C12" s="8" t="s">
        <v>14</v>
      </c>
      <c r="D12" s="8" t="s">
        <v>2</v>
      </c>
      <c r="E12" s="8" t="str">
        <f>IFERROR(VLOOKUP(InventoryList[[#This Row],[BIN '#]],BinLookup[],3,FALSE),"")</f>
        <v>Row 1, slot 1</v>
      </c>
      <c r="F12" s="8" t="s">
        <v>27</v>
      </c>
      <c r="G12" s="9">
        <v>19</v>
      </c>
      <c r="H12" s="9">
        <v>10</v>
      </c>
      <c r="I12" s="10">
        <v>3</v>
      </c>
      <c r="J12" s="10">
        <f>InventoryList[[#This Row],[AVAILABLE QTY]]*InventoryList[[#This Row],[COST]]</f>
        <v>57</v>
      </c>
      <c r="K12" s="6">
        <f>IFERROR(IF(InventoryList[[#This Row],[AVAILABLE QTY]]&lt;=InventoryList[[#This Row],[REORDER QTY]],1,0),0)</f>
        <v>0</v>
      </c>
    </row>
    <row r="13" spans="2:11" ht="30" customHeight="1">
      <c r="B13" s="8" t="s">
        <v>39</v>
      </c>
      <c r="C13" s="8" t="s">
        <v>15</v>
      </c>
      <c r="D13" s="8" t="s">
        <v>7</v>
      </c>
      <c r="E13" s="8" t="str">
        <f>IFERROR(VLOOKUP(InventoryList[[#This Row],[BIN '#]],BinLookup[],3,FALSE),"")</f>
        <v>Row 2, slot 2</v>
      </c>
      <c r="F13" s="8" t="s">
        <v>30</v>
      </c>
      <c r="G13" s="9">
        <v>20</v>
      </c>
      <c r="H13" s="9">
        <v>30</v>
      </c>
      <c r="I13" s="10">
        <v>14</v>
      </c>
      <c r="J13" s="10">
        <f>InventoryList[[#This Row],[AVAILABLE QTY]]*InventoryList[[#This Row],[COST]]</f>
        <v>280</v>
      </c>
      <c r="K13" s="6">
        <f>IFERROR(IF(InventoryList[[#This Row],[AVAILABLE QTY]]&lt;=InventoryList[[#This Row],[REORDER QTY]],1,0),0)</f>
        <v>1</v>
      </c>
    </row>
    <row r="14" spans="2:11" ht="30" customHeight="1">
      <c r="B14" s="8" t="s">
        <v>28</v>
      </c>
      <c r="C14" s="8" t="s">
        <v>16</v>
      </c>
      <c r="D14" s="8" t="s">
        <v>64</v>
      </c>
      <c r="E14" s="8" t="str">
        <f>IFERROR(VLOOKUP(InventoryList[[#This Row],[BIN '#]],BinLookup[],3,FALSE),"")</f>
        <v>Row 4, slot 5</v>
      </c>
      <c r="F14" s="8" t="s">
        <v>27</v>
      </c>
      <c r="G14" s="9">
        <v>15</v>
      </c>
      <c r="H14" s="9">
        <v>8</v>
      </c>
      <c r="I14" s="10">
        <v>60</v>
      </c>
      <c r="J14" s="10">
        <f>InventoryList[[#This Row],[AVAILABLE QTY]]*InventoryList[[#This Row],[COST]]</f>
        <v>900</v>
      </c>
      <c r="K14" s="6">
        <f>IFERROR(IF(InventoryList[[#This Row],[AVAILABLE QTY]]&lt;=InventoryList[[#This Row],[REORDER QTY]],1,0),0)</f>
        <v>0</v>
      </c>
    </row>
    <row r="15" spans="2:11" ht="30" customHeight="1">
      <c r="B15" s="8" t="s">
        <v>52</v>
      </c>
      <c r="C15" s="8" t="s">
        <v>51</v>
      </c>
      <c r="D15" s="8" t="s">
        <v>6</v>
      </c>
      <c r="E15" s="8" t="str">
        <f>IFERROR(VLOOKUP(InventoryList[[#This Row],[BIN '#]],BinLookup[],3,FALSE),"")</f>
        <v>Row 1, slot 2</v>
      </c>
      <c r="F15" s="8" t="s">
        <v>27</v>
      </c>
      <c r="G15" s="9">
        <v>25</v>
      </c>
      <c r="H15" s="9">
        <v>15</v>
      </c>
      <c r="I15" s="10">
        <v>8</v>
      </c>
      <c r="J15" s="10">
        <f>InventoryList[[#This Row],[AVAILABLE QTY]]*InventoryList[[#This Row],[COST]]</f>
        <v>200</v>
      </c>
      <c r="K15" s="6">
        <f>IFERROR(IF(InventoryList[[#This Row],[AVAILABLE QTY]]&lt;=InventoryList[[#This Row],[REORDER QTY]],1,0),0)</f>
        <v>0</v>
      </c>
    </row>
  </sheetData>
  <conditionalFormatting sqref="B5:K15">
    <cfRule type="expression" dxfId="12" priority="1">
      <formula>$K5=1</formula>
    </cfRule>
    <cfRule type="expression" dxfId="11" priority="6">
      <formula>"If(blnBinNo=""True"")"</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This worksheet shows items ready for reordering--automatically flagged in column K. There are 2 navigation links in cells E2 &amp; F2 for Inventory Pick List &amp; Bin Lookup worksheets" sqref="A1"/>
    <dataValidation allowBlank="1" showInputMessage="1" showErrorMessage="1" prompt="Automatically calculated total inventory value" sqref="B3"/>
    <dataValidation allowBlank="1" showInputMessage="1" showErrorMessage="1" prompt="Automatically calculated bin count" sqref="D3"/>
    <dataValidation allowBlank="1" showInputMessage="1" showErrorMessage="1" prompt="Automatically calculated number of inventory items based on their description" sqref="C3"/>
    <dataValidation allowBlank="1" showInputMessage="1" showErrorMessage="1" prompt="Enter SKU in this column" sqref="B4"/>
    <dataValidation allowBlank="1" showInputMessage="1" showErrorMessage="1" prompt="Enter a description of the item in this column" sqref="C4"/>
    <dataValidation allowBlank="1" showInputMessage="1" showErrorMessage="1" prompt="Select the bin number from the dropdown list. Press ALT+DOWN ARROW to open the dropdown list then press ENTER to choose one of the items" sqref="D4"/>
    <dataValidation allowBlank="1" showInputMessage="1" showErrorMessage="1" prompt="Location is automatically updated in this column using the Bin # and information in the Bin Lookup worksheet " sqref="E4"/>
    <dataValidation allowBlank="1" showInputMessage="1" showErrorMessage="1" prompt="Enter unit in this column" sqref="F4"/>
    <dataValidation allowBlank="1" showInputMessage="1" showErrorMessage="1" prompt="Enter the quantity of each item in this column" sqref="G4"/>
    <dataValidation allowBlank="1" showInputMessage="1" showErrorMessage="1" prompt="Enter reorder quantity in this column" sqref="H4"/>
    <dataValidation allowBlank="1" showInputMessage="1" showErrorMessage="1" prompt="Enter the cost of each item in this column" sqref="I4"/>
    <dataValidation allowBlank="1" showInputMessage="1" showErrorMessage="1" prompt="The inventory value is automatically calculated in this column using the QTY and COST values from the table" sqref="J4"/>
    <dataValidation allowBlank="1" showInputMessage="1" showErrorMessage="1" prompt="A flag icon in this column indicates items in the inventory list that are ready to be reordered" sqref="K4"/>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formula1>BinNumber</formula1>
    </dataValidation>
    <dataValidation allowBlank="1" showInputMessage="1" showErrorMessage="1" prompt="Navigational link to Inventory Pick List worksheet" sqref="E2"/>
    <dataValidation allowBlank="1" showInputMessage="1" showErrorMessage="1" prompt="Navigation link to modify or add items to the Bin Lookup worksheet" sqref="F2"/>
    <dataValidation allowBlank="1" showInputMessage="1" showErrorMessage="1" prompt="Total inventory value is automatically updated below" sqref="B2"/>
    <dataValidation allowBlank="1" showInputMessage="1" showErrorMessage="1" prompt="Total inventory items is automatically updated below" sqref="C2"/>
    <dataValidation allowBlank="1" showInputMessage="1" showErrorMessage="1" prompt="Total bin count is automatically updated below" sqref="D2"/>
  </dataValidations>
  <hyperlinks>
    <hyperlink ref="E2" location="'Inventory Pick List'!A1" tooltip="Select to view Inventory Pick List worksheet" display="INVENTORY PICK LIST"/>
    <hyperlink ref="F2" location="'Bin Lookup'!A1" tooltip="Select to add or modify Bin Lookup information" display="BIN LOOKUP"/>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ickList">
    <tabColor rgb="FF009DEB"/>
    <pageSetUpPr autoPageBreaks="0" fitToPage="1"/>
  </sheetPr>
  <dimension ref="B1:I9"/>
  <sheetViews>
    <sheetView showGridLines="0" topLeftCell="C1" zoomScaleNormal="100" workbookViewId="0">
      <selection activeCell="I14" sqref="I14"/>
    </sheetView>
  </sheetViews>
  <sheetFormatPr defaultRowHeight="30" customHeight="1"/>
  <cols>
    <col min="1" max="1" width="1.88671875" customWidth="1"/>
    <col min="2" max="2" width="20.77734375" customWidth="1"/>
    <col min="3" max="3" width="21.77734375" customWidth="1"/>
    <col min="4" max="4" width="15.6640625" customWidth="1"/>
    <col min="5" max="5" width="17.88671875" customWidth="1"/>
    <col min="6" max="6" width="25.44140625" customWidth="1"/>
    <col min="7" max="7" width="14.44140625" customWidth="1"/>
    <col min="8" max="8" width="13.44140625" customWidth="1"/>
    <col min="9" max="9" width="22.6640625" customWidth="1"/>
  </cols>
  <sheetData>
    <row r="1" spans="2:9" ht="54" customHeight="1" thickBot="1">
      <c r="B1" s="5" t="s">
        <v>53</v>
      </c>
      <c r="C1" s="3"/>
      <c r="D1" s="1"/>
      <c r="E1" s="1"/>
      <c r="F1" s="1"/>
      <c r="G1" s="1"/>
      <c r="H1" s="1"/>
      <c r="I1" s="1"/>
    </row>
    <row r="2" spans="2:9" ht="24.95" customHeight="1">
      <c r="B2" s="14"/>
      <c r="C2" s="14" t="s">
        <v>62</v>
      </c>
    </row>
    <row r="3" spans="2:9" ht="30" customHeight="1">
      <c r="B3" s="12"/>
      <c r="C3" s="13"/>
    </row>
    <row r="4" spans="2:9" ht="17.100000000000001" customHeight="1">
      <c r="B4" s="15" t="s">
        <v>58</v>
      </c>
      <c r="C4" s="15" t="s">
        <v>0</v>
      </c>
      <c r="D4" s="15" t="s">
        <v>59</v>
      </c>
      <c r="E4" s="15" t="s">
        <v>60</v>
      </c>
      <c r="F4" s="15" t="s">
        <v>61</v>
      </c>
      <c r="G4" s="15" t="s">
        <v>46</v>
      </c>
      <c r="H4" s="15" t="s">
        <v>44</v>
      </c>
      <c r="I4" s="15" t="s">
        <v>45</v>
      </c>
    </row>
    <row r="5" spans="2:9" ht="30" customHeight="1">
      <c r="B5" s="8" t="s">
        <v>72</v>
      </c>
      <c r="C5" s="8" t="s">
        <v>35</v>
      </c>
      <c r="D5" s="9">
        <v>3</v>
      </c>
      <c r="E5" s="9">
        <f>IFERROR(VLOOKUP([1]!InventoryPickList[SKU],[1]!InventoryList[#Data],6,FALSE),"")</f>
        <v>12</v>
      </c>
      <c r="F5" s="8" t="str">
        <f>IFERROR(VLOOKUP([1]!InventoryPickList[SKU],[1]!InventoryList[#Data],2,FALSE),"")</f>
        <v>Item 5</v>
      </c>
      <c r="G5" s="8" t="str">
        <f>IFERROR(VLOOKUP([1]!InventoryPickList[SKU],[1]!InventoryList[#Data],5,FALSE),"")</f>
        <v>Each</v>
      </c>
      <c r="H5" s="8" t="str">
        <f>IFERROR(VLOOKUP([1]!InventoryPickList[SKU],[1]!InventoryList[#Data],3,FALSE),"")</f>
        <v>T098</v>
      </c>
      <c r="I5" s="8" t="str">
        <f>IFERROR(VLOOKUP([1]!InventoryPickList[SKU],[1]!InventoryList[#Data],4,FALSE),"")</f>
        <v>Row 3, slot 1</v>
      </c>
    </row>
    <row r="6" spans="2:9" ht="30" customHeight="1">
      <c r="B6" s="8" t="s">
        <v>72</v>
      </c>
      <c r="C6" s="8" t="s">
        <v>34</v>
      </c>
      <c r="D6" s="9">
        <v>1</v>
      </c>
      <c r="E6" s="9">
        <f>IFERROR(VLOOKUP([1]!InventoryPickList[SKU],[1]!InventoryList[#Data],6,FALSE),"")</f>
        <v>40</v>
      </c>
      <c r="F6" s="8" t="str">
        <f>IFERROR(VLOOKUP([1]!InventoryPickList[SKU],[1]!InventoryList[#Data],2,FALSE),"")</f>
        <v>Item 4</v>
      </c>
      <c r="G6" s="8" t="str">
        <f>IFERROR(VLOOKUP([1]!InventoryPickList[SKU],[1]!InventoryList[#Data],5,FALSE),"")</f>
        <v>Box (10 ct)</v>
      </c>
      <c r="H6" s="8" t="str">
        <f>IFERROR(VLOOKUP([1]!InventoryPickList[SKU],[1]!InventoryList[#Data],3,FALSE),"")</f>
        <v>T9876</v>
      </c>
      <c r="I6" s="8" t="str">
        <f>IFERROR(VLOOKUP([1]!InventoryPickList[SKU],[1]!InventoryList[#Data],4,FALSE),"")</f>
        <v>Row 3, slot 2</v>
      </c>
    </row>
    <row r="7" spans="2:9" ht="30" customHeight="1">
      <c r="B7" s="8" t="s">
        <v>72</v>
      </c>
      <c r="C7" s="8" t="s">
        <v>37</v>
      </c>
      <c r="D7" s="9">
        <v>2</v>
      </c>
      <c r="E7" s="9">
        <f>IFERROR(VLOOKUP([1]!InventoryPickList[SKU],[1]!InventoryList[#Data],6,FALSE),"")</f>
        <v>10</v>
      </c>
      <c r="F7" s="8" t="str">
        <f>IFERROR(VLOOKUP([1]!InventoryPickList[SKU],[1]!InventoryList[#Data],2,FALSE),"")</f>
        <v>Item 7</v>
      </c>
      <c r="G7" s="8" t="str">
        <f>IFERROR(VLOOKUP([1]!InventoryPickList[SKU],[1]!InventoryList[#Data],5,FALSE),"")</f>
        <v>Each</v>
      </c>
      <c r="H7" s="8" t="str">
        <f>IFERROR(VLOOKUP([1]!InventoryPickList[SKU],[1]!InventoryList[#Data],3,FALSE),"")</f>
        <v>T349</v>
      </c>
      <c r="I7" s="8" t="str">
        <f>IFERROR(VLOOKUP([1]!InventoryPickList[SKU],[1]!InventoryList[#Data],4,FALSE),"")</f>
        <v>Row 1, slot 2</v>
      </c>
    </row>
    <row r="8" spans="2:9" ht="30" customHeight="1">
      <c r="B8" s="8" t="s">
        <v>72</v>
      </c>
      <c r="C8" s="8" t="s">
        <v>28</v>
      </c>
      <c r="D8" s="9">
        <v>6</v>
      </c>
      <c r="E8" s="9">
        <f>IFERROR(VLOOKUP([1]!InventoryPickList[SKU],[1]!InventoryList[#Data],6,FALSE),"")</f>
        <v>15</v>
      </c>
      <c r="F8" s="8" t="str">
        <f>IFERROR(VLOOKUP([1]!InventoryPickList[SKU],[1]!InventoryList[#Data],2,FALSE),"")</f>
        <v>Item 10</v>
      </c>
      <c r="G8" s="8" t="str">
        <f>IFERROR(VLOOKUP([1]!InventoryPickList[SKU],[1]!InventoryList[#Data],5,FALSE),"")</f>
        <v>Each</v>
      </c>
      <c r="H8" s="8" t="str">
        <f>IFERROR(VLOOKUP([1]!InventoryPickList[SKU],[1]!InventoryList[#Data],3,FALSE),"")</f>
        <v>T5786</v>
      </c>
      <c r="I8" s="8" t="str">
        <f>IFERROR(VLOOKUP([1]!InventoryPickList[SKU],[1]!InventoryList[#Data],4,FALSE),"")</f>
        <v>Row 4, slot 5</v>
      </c>
    </row>
    <row r="9" spans="2:9" ht="30" customHeight="1">
      <c r="B9" s="8" t="s">
        <v>72</v>
      </c>
      <c r="C9" s="8" t="s">
        <v>33</v>
      </c>
      <c r="D9" s="9">
        <v>3</v>
      </c>
      <c r="E9" s="9">
        <f>IFERROR(VLOOKUP([1]!InventoryPickList[SKU],[1]!InventoryList[#Data],6,FALSE),"")</f>
        <v>10</v>
      </c>
      <c r="F9" s="8" t="str">
        <f>IFERROR(VLOOKUP([1]!InventoryPickList[SKU],[1]!InventoryList[#Data],2,FALSE),"")</f>
        <v>Item 3</v>
      </c>
      <c r="G9" s="8" t="str">
        <f>IFERROR(VLOOKUP([1]!InventoryPickList[SKU],[1]!InventoryList[#Data],5,FALSE),"")</f>
        <v>Each</v>
      </c>
      <c r="H9" s="8" t="str">
        <f>IFERROR(VLOOKUP([1]!InventoryPickList[SKU],[1]!InventoryList[#Data],3,FALSE),"")</f>
        <v>T5789</v>
      </c>
      <c r="I9" s="8" t="str">
        <f>IFERROR(VLOOKUP([1]!InventoryPickList[SKU],[1]!InventoryList[#Data],4,FALSE),"")</f>
        <v>Row 1, slot 1</v>
      </c>
    </row>
  </sheetData>
  <conditionalFormatting sqref="E6:E9">
    <cfRule type="expression" dxfId="8" priority="8">
      <formula>D6&gt;E6</formula>
    </cfRule>
  </conditionalFormatting>
  <conditionalFormatting sqref="E5">
    <cfRule type="expression" dxfId="6" priority="1">
      <formula>D5&gt;E5</formula>
    </cfRule>
  </conditionalFormatting>
  <dataValidations xWindow="40" yWindow="335" count="14">
    <dataValidation allowBlank="1" showInputMessage="1" showErrorMessage="1" prompt="Use Inventory pick list to track quantity of each SKU needed to fulfill orders. Clear pick list table in cell B2. Navigate to Inventory List worksheet in cell C2" sqref="A1"/>
    <dataValidation allowBlank="1" showInputMessage="1" showErrorMessage="1" prompt="Enter order number in this column" sqref="B4"/>
    <dataValidation allowBlank="1" showInputMessage="1" showErrorMessage="1" prompt="Select the SKU from the dropdown list. Press ALT+DOWN ARROW to open the dropdown list then press ENTER to choose one of the items" sqref="C4"/>
    <dataValidation allowBlank="1" showInputMessage="1" showErrorMessage="1" prompt="Enter pick quantity of items in this column" sqref="D4"/>
    <dataValidation allowBlank="1" showInputMessage="1" showErrorMessage="1" prompt="Quantity available for each item is automatically calculated in this column" sqref="E4"/>
    <dataValidation allowBlank="1" showInputMessage="1" showErrorMessage="1" prompt="Item description is automatically updated in this column" sqref="F4"/>
    <dataValidation allowBlank="1" showInputMessage="1" showErrorMessage="1" prompt="Unit is automatically updated in this column" sqref="G4"/>
    <dataValidation allowBlank="1" showInputMessage="1" showErrorMessage="1" prompt="Bin number is automatically updated in this column" sqref="H4"/>
    <dataValidation allowBlank="1" showInputMessage="1" showErrorMessage="1" prompt="Location is automatically updated in this column" sqref="I4"/>
    <dataValidation type="custom" allowBlank="1" showInputMessage="1" showErrorMessage="1" errorTitle="Whoops!" error="The quantity entered exceeds the Quantity Available. " sqref="D6:D9">
      <formula1>D6&lt;=E6</formula1>
    </dataValidation>
    <dataValidation type="custom" allowBlank="1" showInputMessage="1" showErrorMessage="1" error="The quantity entered exceeds the Quantity Available. Enter a PICK QTY less than the QTY AVAILABLE" sqref="D5">
      <formula1>D5&lt;=E5</formula1>
    </dataValidation>
    <dataValidation allowBlank="1" showInputMessage="1" showErrorMessage="1" prompt="To clear the pick list table in this worksheet, activate the object in B2 or press ALT+F8 and type &quot;ClearPickList&quot; with no spaces, then select RUN" sqref="B2"/>
    <dataValidation allowBlank="1" showInputMessage="1" showErrorMessage="1" prompt="Navigation link to Inventory List worksheet" sqref="C2"/>
    <dataValidation type="list" errorStyle="warning" allowBlank="1" showErrorMessage="1" error="Entry isn't from List. Select CANCEL, then press ALT+DOWN ARROW to open drop-down list and ENTER to make selection" sqref="C5:C9">
      <formula1>SKULookup</formula1>
    </dataValidation>
  </dataValidations>
  <hyperlinks>
    <hyperlink ref="C2" location="'Inventory List'!A1" tooltip="Select to view Inventory List" display="INVENTORY LIST"/>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Start Here</vt:lpstr>
      <vt:lpstr>Bin Lookup</vt:lpstr>
      <vt:lpstr>Inventory List</vt:lpstr>
      <vt:lpstr>Inventory Pick List</vt:lpstr>
      <vt:lpstr>BinNumber</vt:lpstr>
      <vt:lpstr>ColumnTitle1</vt:lpstr>
      <vt:lpstr>ColumnTitle2</vt:lpstr>
      <vt:lpstr>ColumnTitle3</vt:lpstr>
      <vt:lpstr>'Bin Lookup'!Print_Titles</vt:lpstr>
      <vt:lpstr>'Inventory List'!Print_Titles</vt:lpstr>
      <vt:lpstr>'Inventory Pick List'!Print_Titles</vt:lpstr>
      <vt:lpstr>SKULookup</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Warehouse Anywhere</dc:creator>
  <cp:lastModifiedBy>ubmgr</cp:lastModifiedBy>
  <dcterms:created xsi:type="dcterms:W3CDTF">2017-06-02T00:14:58Z</dcterms:created>
  <dcterms:modified xsi:type="dcterms:W3CDTF">2018-11-06T17:34:40Z</dcterms:modified>
</cp:coreProperties>
</file>