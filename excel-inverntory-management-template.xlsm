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MacBookPro/Downloads/"/>
    </mc:Choice>
  </mc:AlternateContent>
  <xr:revisionPtr revIDLastSave="0" documentId="13_ncr:1_{26DD6E1A-DF8E-A146-83DA-579505B41BEF}" xr6:coauthVersionLast="41" xr6:coauthVersionMax="41" xr10:uidLastSave="{00000000-0000-0000-0000-000000000000}"/>
  <bookViews>
    <workbookView xWindow="0" yWindow="460" windowWidth="25600" windowHeight="14100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Sheet1" sheetId="11" r:id="rId8"/>
    <sheet name="EnterNewProduct" sheetId="10" state="hidden" r:id="rId9"/>
  </sheets>
  <definedNames>
    <definedName name="Puneet">INDEX(Help!XFB1:XFB3,MATCH(Help!XEY1,Help!XFA1:XFA3,0),0)</definedName>
  </definedNames>
  <calcPr calcId="191029"/>
  <pivotCaches>
    <pivotCache cacheId="18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4" l="1"/>
  <c r="I14" i="4"/>
  <c r="H13" i="4"/>
  <c r="I13" i="4"/>
  <c r="H12" i="4"/>
  <c r="I12" i="4"/>
  <c r="B5" i="5" l="1"/>
  <c r="B7" i="7"/>
  <c r="B8" i="7" s="1"/>
  <c r="B13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9" i="7"/>
  <c r="B11" i="7"/>
  <c r="B10" i="7"/>
  <c r="B2" i="7"/>
  <c r="B6" i="7"/>
  <c r="B5" i="7"/>
  <c r="A16" i="7" l="1"/>
  <c r="A17" i="7"/>
  <c r="A15" i="7"/>
  <c r="B12" i="7"/>
</calcChain>
</file>

<file path=xl/sharedStrings.xml><?xml version="1.0" encoding="utf-8"?>
<sst xmlns="http://schemas.openxmlformats.org/spreadsheetml/2006/main" count="212" uniqueCount="58">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</sst>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7" fillId="2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Alignment="1">
      <alignment horizontal="center" vertical="center"/>
    </xf>
    <xf numFmtId="42" fontId="10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[excel-inverntory-management-template.xlsm]Help!PivotTable1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Help!$F$2:$F$7</c:f>
              <c:strCache>
                <c:ptCount val="5"/>
                <c:pt idx="0">
                  <c:v>Home Appliances</c:v>
                </c:pt>
                <c:pt idx="1">
                  <c:v>(blank)</c:v>
                </c:pt>
                <c:pt idx="2">
                  <c:v>Mobile Phone</c:v>
                </c:pt>
                <c:pt idx="3">
                  <c:v>Tablet</c:v>
                </c:pt>
                <c:pt idx="4">
                  <c:v>Laptop</c:v>
                </c:pt>
              </c:strCache>
            </c:strRef>
          </c:cat>
          <c:val>
            <c:numRef>
              <c:f>Help!$G$2:$G$7</c:f>
              <c:numCache>
                <c:formatCode>General</c:formatCode>
                <c:ptCount val="5"/>
                <c:pt idx="0">
                  <c:v>165</c:v>
                </c:pt>
                <c:pt idx="1">
                  <c:v>0</c:v>
                </c:pt>
                <c:pt idx="2">
                  <c:v>330</c:v>
                </c:pt>
                <c:pt idx="3">
                  <c:v>100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" Type="http://schemas.openxmlformats.org/officeDocument/2006/relationships/hyperlink" Target="https://gumroad.com/l/PlHCF" TargetMode="External"/><Relationship Id="rId21" Type="http://schemas.openxmlformats.org/officeDocument/2006/relationships/hyperlink" Target="mailto:?&amp;body=Hey,%0a%0aExcel%20Inventory%20Management%20Template.%0a%0aCheck%20This%20Out%20From%20Here.%20%0ahttp://excelchamps.com/blog/2016/08/excel-inventory-management-template-with-user-forms-vba" TargetMode="Externa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5" Type="http://schemas.openxmlformats.org/officeDocument/2006/relationships/hyperlink" Target="https://pinterest.com/pin/create/button/?url=http://excelchamps.com/blog/2016/08/excel-inventory-management-template-with-user-forms-vba&amp;media=&amp;description=" TargetMode="External"/><Relationship Id="rId2" Type="http://schemas.openxmlformats.org/officeDocument/2006/relationships/chart" Target="../charts/chart2.xml"/><Relationship Id="rId16" Type="http://schemas.openxmlformats.org/officeDocument/2006/relationships/hyperlink" Target="http://excelchamps.com/" TargetMode="External"/><Relationship Id="rId20" Type="http://schemas.openxmlformats.org/officeDocument/2006/relationships/image" Target="../media/image11.png"/><Relationship Id="rId29" Type="http://schemas.openxmlformats.org/officeDocument/2006/relationships/hyperlink" Target="https://www.facebook.com/sharer/sharer.php?u=http://excelchamps.com/blog/2016/08/excel-inventory-management-template-with-user-forms-vba" TargetMode="Externa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hyperlink" Target="https://twitter.com/ExcelChamps" TargetMode="External"/><Relationship Id="rId24" Type="http://schemas.openxmlformats.org/officeDocument/2006/relationships/image" Target="../media/image13.png"/><Relationship Id="rId5" Type="http://schemas.openxmlformats.org/officeDocument/2006/relationships/image" Target="../media/image1.png"/><Relationship Id="rId15" Type="http://schemas.openxmlformats.org/officeDocument/2006/relationships/image" Target="../media/image8.png"/><Relationship Id="rId23" Type="http://schemas.openxmlformats.org/officeDocument/2006/relationships/hyperlink" Target="https://www.linkedin.com/shareArticle?mini=true&amp;url=http://excelchamps.com/blog/2016/08/excel-inventory-management-template-with-user-forms-vba&amp;title=&amp;summary=&amp;source=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5.png"/><Relationship Id="rId19" Type="http://schemas.openxmlformats.org/officeDocument/2006/relationships/hyperlink" Target="https://twitter.com/home?status=http://excelchamps.com/blog/2016/08/excel-inventory-management-template-with-user-forms-vba" TargetMode="External"/><Relationship Id="rId4" Type="http://schemas.openxmlformats.org/officeDocument/2006/relationships/hyperlink" Target="https://goo.gl/qeulo7" TargetMode="External"/><Relationship Id="rId9" Type="http://schemas.openxmlformats.org/officeDocument/2006/relationships/hyperlink" Target="https://www.facebook.com/ExcelChamps" TargetMode="External"/><Relationship Id="rId14" Type="http://schemas.openxmlformats.org/officeDocument/2006/relationships/hyperlink" Target="https://www.youtube.com/c/Excelchamps" TargetMode="External"/><Relationship Id="rId22" Type="http://schemas.openxmlformats.org/officeDocument/2006/relationships/image" Target="../media/image12.png"/><Relationship Id="rId27" Type="http://schemas.openxmlformats.org/officeDocument/2006/relationships/hyperlink" Target="https://plus.google.com/share?url=http://excelchamps.com/blog/2016/08/excel-inventory-management-template-with-user-forms-vba" TargetMode="External"/><Relationship Id="rId30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#N/A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#N/A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#N/A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#N/A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#N/A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$623,794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625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>
    <xdr:from>
      <xdr:col>13</xdr:col>
      <xdr:colOff>552451</xdr:colOff>
      <xdr:row>0</xdr:row>
      <xdr:rowOff>66675</xdr:rowOff>
    </xdr:from>
    <xdr:to>
      <xdr:col>17</xdr:col>
      <xdr:colOff>209551</xdr:colOff>
      <xdr:row>2</xdr:row>
      <xdr:rowOff>133350</xdr:rowOff>
    </xdr:to>
    <xdr:sp macro="" textlink="">
      <xdr:nvSpPr>
        <xdr:cNvPr id="47" name="Rectangle: Rounded Corners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52B471-80D5-4C90-8B93-B324B8A5E195}"/>
            </a:ext>
          </a:extLst>
        </xdr:cNvPr>
        <xdr:cNvSpPr/>
      </xdr:nvSpPr>
      <xdr:spPr>
        <a:xfrm>
          <a:off x="9467851" y="66675"/>
          <a:ext cx="2400300" cy="447675"/>
        </a:xfrm>
        <a:prstGeom prst="roundRect">
          <a:avLst>
            <a:gd name="adj" fmla="val 851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Want More Features?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0</xdr:row>
      <xdr:rowOff>0</xdr:rowOff>
    </xdr:from>
    <xdr:to>
      <xdr:col>9</xdr:col>
      <xdr:colOff>352425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a customize Template </a:t>
          </a:r>
          <a:r>
            <a:rPr lang="en-US" sz="1200" b="0" u="sng" baseline="0">
              <a:solidFill>
                <a:srgbClr val="0000EE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take a quote for that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47625</xdr:colOff>
      <xdr:row>22</xdr:row>
      <xdr:rowOff>116973</xdr:rowOff>
    </xdr:from>
    <xdr:ext cx="1781175" cy="233205"/>
    <xdr:sp macro="" textlink="">
      <xdr:nvSpPr>
        <xdr:cNvPr id="15" name="PoweredBy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625" y="4307973"/>
          <a:ext cx="1781175" cy="233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900" b="0" cap="none" spc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Powered </a:t>
          </a:r>
          <a:r>
            <a:rPr lang="en-US" sz="900" b="0" cap="none" spc="0" baseline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By - ExcelChamps</a:t>
          </a:r>
          <a:endParaRPr lang="en-US" sz="900" b="0" cap="none" spc="0">
            <a:ln w="0">
              <a:noFill/>
            </a:ln>
            <a:solidFill>
              <a:schemeClr val="tx2"/>
            </a:solidFill>
            <a:effectLst/>
            <a:latin typeface="+mj-lt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66675</xdr:colOff>
      <xdr:row>6</xdr:row>
      <xdr:rowOff>9525</xdr:rowOff>
    </xdr:from>
    <xdr:to>
      <xdr:col>1</xdr:col>
      <xdr:colOff>651891</xdr:colOff>
      <xdr:row>8</xdr:row>
      <xdr:rowOff>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152525"/>
          <a:ext cx="1271016" cy="371475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6</xdr:row>
      <xdr:rowOff>9523</xdr:rowOff>
    </xdr:from>
    <xdr:to>
      <xdr:col>3</xdr:col>
      <xdr:colOff>613792</xdr:colOff>
      <xdr:row>8</xdr:row>
      <xdr:rowOff>3427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152523"/>
          <a:ext cx="127101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133349</xdr:rowOff>
    </xdr:from>
    <xdr:to>
      <xdr:col>1</xdr:col>
      <xdr:colOff>647699</xdr:colOff>
      <xdr:row>12</xdr:row>
      <xdr:rowOff>136397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038349"/>
          <a:ext cx="1266825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12</xdr:row>
      <xdr:rowOff>136398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038350"/>
          <a:ext cx="1271016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 editAs="oneCell">
    <xdr:from>
      <xdr:col>2</xdr:col>
      <xdr:colOff>314325</xdr:colOff>
      <xdr:row>22</xdr:row>
      <xdr:rowOff>123825</xdr:rowOff>
    </xdr:from>
    <xdr:to>
      <xdr:col>2</xdr:col>
      <xdr:colOff>533781</xdr:colOff>
      <xdr:row>23</xdr:row>
      <xdr:rowOff>152781</xdr:rowOff>
    </xdr:to>
    <xdr:pic>
      <xdr:nvPicPr>
        <xdr:cNvPr id="28" name="Facebook" hidden="1">
          <a:hlinkClick xmlns:r="http://schemas.openxmlformats.org/officeDocument/2006/relationships" r:id="rId9" tooltip="Facebook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561975</xdr:colOff>
      <xdr:row>22</xdr:row>
      <xdr:rowOff>123825</xdr:rowOff>
    </xdr:from>
    <xdr:to>
      <xdr:col>3</xdr:col>
      <xdr:colOff>95631</xdr:colOff>
      <xdr:row>23</xdr:row>
      <xdr:rowOff>152781</xdr:rowOff>
    </xdr:to>
    <xdr:pic>
      <xdr:nvPicPr>
        <xdr:cNvPr id="16" name="Twitter" hidden="1">
          <a:hlinkClick xmlns:r="http://schemas.openxmlformats.org/officeDocument/2006/relationships" r:id="rId11" tooltip="Twitter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121425</xdr:colOff>
      <xdr:row>22</xdr:row>
      <xdr:rowOff>121425</xdr:rowOff>
    </xdr:from>
    <xdr:to>
      <xdr:col>3</xdr:col>
      <xdr:colOff>340881</xdr:colOff>
      <xdr:row>23</xdr:row>
      <xdr:rowOff>150381</xdr:rowOff>
    </xdr:to>
    <xdr:pic>
      <xdr:nvPicPr>
        <xdr:cNvPr id="17" name="Google+" hidden="1">
          <a:hlinkClick xmlns:r="http://schemas.openxmlformats.org/officeDocument/2006/relationships" r:id="rId11" tooltip="Google+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825" y="43124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385725</xdr:colOff>
      <xdr:row>22</xdr:row>
      <xdr:rowOff>119025</xdr:rowOff>
    </xdr:from>
    <xdr:to>
      <xdr:col>3</xdr:col>
      <xdr:colOff>605181</xdr:colOff>
      <xdr:row>23</xdr:row>
      <xdr:rowOff>147981</xdr:rowOff>
    </xdr:to>
    <xdr:pic>
      <xdr:nvPicPr>
        <xdr:cNvPr id="18" name="Youtube" hidden="1">
          <a:hlinkClick xmlns:r="http://schemas.openxmlformats.org/officeDocument/2006/relationships" r:id="rId14" tooltip="YouTube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3125" y="43100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22</xdr:row>
      <xdr:rowOff>133350</xdr:rowOff>
    </xdr:from>
    <xdr:to>
      <xdr:col>2</xdr:col>
      <xdr:colOff>286131</xdr:colOff>
      <xdr:row>23</xdr:row>
      <xdr:rowOff>148616</xdr:rowOff>
    </xdr:to>
    <xdr:pic>
      <xdr:nvPicPr>
        <xdr:cNvPr id="19" name="Web" hidden="1">
          <a:hlinkClick xmlns:r="http://schemas.openxmlformats.org/officeDocument/2006/relationships" r:id="rId16" tooltip="Website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4324350"/>
          <a:ext cx="219456" cy="205766"/>
        </a:xfrm>
        <a:prstGeom prst="rect">
          <a:avLst/>
        </a:prstGeom>
      </xdr:spPr>
    </xdr:pic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155828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733424"/>
          <a:ext cx="2609851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15</xdr:row>
      <xdr:rowOff>142874</xdr:rowOff>
    </xdr:from>
    <xdr:to>
      <xdr:col>3</xdr:col>
      <xdr:colOff>600075</xdr:colOff>
      <xdr:row>17</xdr:row>
      <xdr:rowOff>190499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7150" y="3000374"/>
          <a:ext cx="2600325" cy="42862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12</xdr:row>
      <xdr:rowOff>180974</xdr:rowOff>
    </xdr:from>
    <xdr:to>
      <xdr:col>3</xdr:col>
      <xdr:colOff>600076</xdr:colOff>
      <xdr:row>14</xdr:row>
      <xdr:rowOff>174878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466974"/>
          <a:ext cx="258127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19</xdr:col>
      <xdr:colOff>0</xdr:colOff>
      <xdr:row>24</xdr:row>
      <xdr:rowOff>0</xdr:rowOff>
    </xdr:to>
    <xdr:sp macro="" textlink="">
      <xdr:nvSpPr>
        <xdr:cNvPr id="3" name="WelcomeMa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" y="19050"/>
          <a:ext cx="12477750" cy="45529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Welcome To Inventory</a:t>
          </a:r>
          <a:r>
            <a:rPr lang="en-US" sz="2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Management Template</a:t>
          </a:r>
        </a:p>
        <a:p>
          <a:pPr algn="ctr"/>
          <a:endParaRPr lang="en-US" sz="10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Powered By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28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ExcelChamps.com</a:t>
          </a:r>
        </a:p>
        <a:p>
          <a:pPr algn="ctr"/>
          <a:r>
            <a:rPr lang="en-US" sz="900" i="1" u="none" baseline="0">
              <a:solidFill>
                <a:schemeClr val="tx1">
                  <a:lumMod val="50000"/>
                  <a:lumOff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Most Amazing Excel Tips On Internet</a:t>
          </a:r>
          <a:endParaRPr lang="en-US" sz="1100" i="1" u="none" baseline="0">
            <a:solidFill>
              <a:schemeClr val="tx1">
                <a:lumMod val="50000"/>
                <a:lumOff val="50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Below Buttons To Share This Template With Your Best Buddies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="0" i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Continue To Go Ahead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7</xdr:col>
      <xdr:colOff>333375</xdr:colOff>
      <xdr:row>18</xdr:row>
      <xdr:rowOff>152399</xdr:rowOff>
    </xdr:from>
    <xdr:to>
      <xdr:col>10</xdr:col>
      <xdr:colOff>523875</xdr:colOff>
      <xdr:row>22</xdr:row>
      <xdr:rowOff>9524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133975" y="3581399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400050</xdr:colOff>
      <xdr:row>14</xdr:row>
      <xdr:rowOff>19050</xdr:rowOff>
    </xdr:from>
    <xdr:to>
      <xdr:col>8</xdr:col>
      <xdr:colOff>80010</xdr:colOff>
      <xdr:row>16</xdr:row>
      <xdr:rowOff>3810</xdr:rowOff>
    </xdr:to>
    <xdr:pic>
      <xdr:nvPicPr>
        <xdr:cNvPr id="54" name="ShareOnTwitter" hidden="1">
          <a:hlinkClick xmlns:r="http://schemas.openxmlformats.org/officeDocument/2006/relationships" r:id="rId19" tooltip="ShareOnTwitter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860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14</xdr:row>
      <xdr:rowOff>9525</xdr:rowOff>
    </xdr:from>
    <xdr:to>
      <xdr:col>11</xdr:col>
      <xdr:colOff>441960</xdr:colOff>
      <xdr:row>15</xdr:row>
      <xdr:rowOff>184785</xdr:rowOff>
    </xdr:to>
    <xdr:pic>
      <xdr:nvPicPr>
        <xdr:cNvPr id="55" name="MailYourBuddies" hidden="1">
          <a:hlinkClick xmlns:r="http://schemas.openxmlformats.org/officeDocument/2006/relationships" r:id="rId21" tooltip="Mail Your Buddies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14</xdr:row>
      <xdr:rowOff>9525</xdr:rowOff>
    </xdr:from>
    <xdr:to>
      <xdr:col>9</xdr:col>
      <xdr:colOff>632460</xdr:colOff>
      <xdr:row>15</xdr:row>
      <xdr:rowOff>184785</xdr:rowOff>
    </xdr:to>
    <xdr:pic>
      <xdr:nvPicPr>
        <xdr:cNvPr id="56" name="ShareOnLinkedIn" hidden="1">
          <a:hlinkClick xmlns:r="http://schemas.openxmlformats.org/officeDocument/2006/relationships" r:id="rId23" tooltip="Share On LinkedIn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14</xdr:row>
      <xdr:rowOff>9525</xdr:rowOff>
    </xdr:from>
    <xdr:to>
      <xdr:col>9</xdr:col>
      <xdr:colOff>32385</xdr:colOff>
      <xdr:row>15</xdr:row>
      <xdr:rowOff>184785</xdr:rowOff>
    </xdr:to>
    <xdr:pic>
      <xdr:nvPicPr>
        <xdr:cNvPr id="58" name="ShareOnPinterest" hidden="1">
          <a:hlinkClick xmlns:r="http://schemas.openxmlformats.org/officeDocument/2006/relationships" r:id="rId25" tooltip="Share On Pinterest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5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171450</xdr:colOff>
      <xdr:row>14</xdr:row>
      <xdr:rowOff>9525</xdr:rowOff>
    </xdr:from>
    <xdr:to>
      <xdr:col>10</xdr:col>
      <xdr:colOff>537210</xdr:colOff>
      <xdr:row>15</xdr:row>
      <xdr:rowOff>184785</xdr:rowOff>
    </xdr:to>
    <xdr:pic>
      <xdr:nvPicPr>
        <xdr:cNvPr id="57" name="ShareOnGoogle+" hidden="1">
          <a:hlinkClick xmlns:r="http://schemas.openxmlformats.org/officeDocument/2006/relationships" r:id="rId27" tooltip="Share On Google+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14</xdr:row>
      <xdr:rowOff>28575</xdr:rowOff>
    </xdr:from>
    <xdr:to>
      <xdr:col>7</xdr:col>
      <xdr:colOff>137160</xdr:colOff>
      <xdr:row>16</xdr:row>
      <xdr:rowOff>13335</xdr:rowOff>
    </xdr:to>
    <xdr:pic>
      <xdr:nvPicPr>
        <xdr:cNvPr id="59" name="ShareOnFacebook" hidden="1">
          <a:hlinkClick xmlns:r="http://schemas.openxmlformats.org/officeDocument/2006/relationships" r:id="rId29" tooltip="ShareOnFacebook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2695575"/>
          <a:ext cx="365760" cy="36576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20</xdr:row>
      <xdr:rowOff>95250</xdr:rowOff>
    </xdr:from>
    <xdr:to>
      <xdr:col>3</xdr:col>
      <xdr:colOff>533400</xdr:colOff>
      <xdr:row>22</xdr:row>
      <xdr:rowOff>9525</xdr:rowOff>
    </xdr:to>
    <xdr:sp macro="" textlink="">
      <xdr:nvSpPr>
        <xdr:cNvPr id="61" name="WantMore" hidden="1">
          <a:hlinkClick xmlns:r="http://schemas.openxmlformats.org/officeDocument/2006/relationships" r:id="rId4" tooltip="More Features"/>
          <a:extLst>
            <a:ext uri="{FF2B5EF4-FFF2-40B4-BE49-F238E27FC236}">
              <a16:creationId xmlns:a16="http://schemas.microsoft.com/office/drawing/2014/main" id="{1879A4EE-32D4-4759-B541-095C667C93A8}"/>
            </a:ext>
          </a:extLst>
        </xdr:cNvPr>
        <xdr:cNvSpPr/>
      </xdr:nvSpPr>
      <xdr:spPr>
        <a:xfrm>
          <a:off x="95250" y="3905250"/>
          <a:ext cx="2495550" cy="295275"/>
        </a:xfrm>
        <a:prstGeom prst="roundRect">
          <a:avLst>
            <a:gd name="adj" fmla="val 17742"/>
          </a:avLst>
        </a:prstGeom>
        <a:gradFill>
          <a:gsLst>
            <a:gs pos="0">
              <a:schemeClr val="bg1"/>
            </a:gs>
            <a:gs pos="53000">
              <a:schemeClr val="bg1">
                <a:lumMod val="95000"/>
              </a:schemeClr>
            </a:gs>
            <a:gs pos="100000">
              <a:schemeClr val="bg1">
                <a:lumMod val="91000"/>
              </a:schemeClr>
            </a:gs>
          </a:gsLst>
          <a:lin ang="5400000" scaled="1"/>
        </a:gradFill>
        <a:ln>
          <a:solidFill>
            <a:schemeClr val="tx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2"/>
              </a:solidFill>
            </a:rPr>
            <a:t>Want More Features?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893.966047916663" createdVersion="5" refreshedVersion="6" minRefreshableVersion="3" recordCount="13" xr:uid="{00000000-000A-0000-FFFF-FFFF22000000}">
  <cacheSource type="worksheet">
    <worksheetSource name="ProductMaster"/>
  </cacheSource>
  <cacheFields count="9">
    <cacheField name="S No." numFmtId="0">
      <sharedItems containsMixedTypes="1" containsNumber="1" containsInteger="1" minValue="1" maxValue="10"/>
    </cacheField>
    <cacheField name="Product ID" numFmtId="0">
      <sharedItems containsBlank="1"/>
    </cacheField>
    <cacheField name="Product Name" numFmtId="0">
      <sharedItems containsBlank="1"/>
    </cacheField>
    <cacheField name="Product Description" numFmtId="0">
      <sharedItems containsBlank="1"/>
    </cacheField>
    <cacheField name="Product Category" numFmtId="0">
      <sharedItems containsBlank="1" count="5">
        <s v="Home Appliances"/>
        <s v="Mobile Phone"/>
        <s v="Tablet"/>
        <s v="Laptop"/>
        <m/>
      </sharedItems>
    </cacheField>
    <cacheField name="Unit Price" numFmtId="42">
      <sharedItems containsString="0" containsBlank="1" containsNumber="1" minValue="169" maxValue="5599"/>
    </cacheField>
    <cacheField name="Reorder Level" numFmtId="0">
      <sharedItems containsString="0" containsBlank="1" containsNumber="1" containsInteger="1" minValue="5" maxValue="120"/>
    </cacheField>
    <cacheField name="Current Stock" numFmtId="0">
      <sharedItems containsSemiMixedTypes="0" containsString="0" containsNumber="1" containsInteger="1" minValue="0" maxValue="180"/>
    </cacheField>
    <cacheField name="Value" numFmtId="42">
      <sharedItems containsSemiMixedTypes="0" containsString="0" containsNumber="1" minValue="0" maxValue="2239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0"/>
    <n v="223960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150"/>
    <n v="104998.5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  <r>
    <s v=""/>
    <m/>
    <m/>
    <m/>
    <x v="4"/>
    <m/>
    <m/>
    <n v="0"/>
    <n v="0"/>
  </r>
  <r>
    <s v=""/>
    <m/>
    <m/>
    <m/>
    <x v="4"/>
    <m/>
    <m/>
    <n v="0"/>
    <n v="0"/>
  </r>
  <r>
    <s v=""/>
    <m/>
    <m/>
    <m/>
    <x v="4"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0" totalsRowShown="0" headerRowDxfId="30" dataDxfId="29">
  <tableColumns count="8">
    <tableColumn id="1" xr3:uid="{00000000-0010-0000-0000-000001000000}" name="S No." dataDxfId="28"/>
    <tableColumn id="2" xr3:uid="{00000000-0010-0000-0000-000002000000}" name="Date" dataDxfId="27"/>
    <tableColumn id="3" xr3:uid="{00000000-0010-0000-0000-000003000000}" name="Product ID" dataDxfId="26"/>
    <tableColumn id="4" xr3:uid="{00000000-0010-0000-0000-000004000000}" name="Product Name" dataDxfId="25"/>
    <tableColumn id="5" xr3:uid="{00000000-0010-0000-0000-000005000000}" name="Product Description" dataDxfId="24"/>
    <tableColumn id="6" xr3:uid="{00000000-0010-0000-0000-000006000000}" name="Product Category" dataDxfId="23"/>
    <tableColumn id="7" xr3:uid="{00000000-0010-0000-0000-000007000000}" name="Quantity" dataDxfId="22"/>
    <tableColumn id="8" xr3:uid="{00000000-0010-0000-0000-000008000000}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7" totalsRowShown="0" headerRowDxfId="20" dataDxfId="19">
  <tableColumns count="8">
    <tableColumn id="1" xr3:uid="{00000000-0010-0000-0100-000001000000}" name="S No." dataDxfId="18"/>
    <tableColumn id="2" xr3:uid="{00000000-0010-0000-0100-000002000000}" name="Date" dataDxfId="17"/>
    <tableColumn id="3" xr3:uid="{00000000-0010-0000-0100-000003000000}" name="Product ID" dataDxfId="16"/>
    <tableColumn id="4" xr3:uid="{00000000-0010-0000-0100-000004000000}" name="Product Name" dataDxfId="15"/>
    <tableColumn id="5" xr3:uid="{00000000-0010-0000-0100-000005000000}" name="Product Description" dataDxfId="14"/>
    <tableColumn id="6" xr3:uid="{00000000-0010-0000-0100-000006000000}" name="Product Category" dataDxfId="13"/>
    <tableColumn id="7" xr3:uid="{00000000-0010-0000-0100-000007000000}" name="Quantity" dataDxfId="12"/>
    <tableColumn id="8" xr3:uid="{00000000-0010-0000-0100-000008000000}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Master" displayName="ProductMaster" ref="A1:I14" totalsRowShown="0" headerRowDxfId="10" dataDxfId="9">
  <tableColumns count="9">
    <tableColumn id="1" xr3:uid="{00000000-0010-0000-0200-000001000000}" name="S No." dataDxfId="8"/>
    <tableColumn id="2" xr3:uid="{00000000-0010-0000-0200-000002000000}" name="Product ID" dataDxfId="7"/>
    <tableColumn id="3" xr3:uid="{00000000-0010-0000-0200-000003000000}" name="Product Name" dataDxfId="6"/>
    <tableColumn id="4" xr3:uid="{00000000-0010-0000-0200-000004000000}" name="Product Description" dataDxfId="5"/>
    <tableColumn id="5" xr3:uid="{00000000-0010-0000-0200-000005000000}" name="Product Category" dataDxfId="4"/>
    <tableColumn id="8" xr3:uid="{00000000-0010-0000-0200-000008000000}" name="Unit Price" dataDxfId="3"/>
    <tableColumn id="6" xr3:uid="{00000000-0010-0000-0200-000006000000}" name="Reorder Level" dataDxfId="2"/>
    <tableColumn id="7" xr3:uid="{00000000-0010-0000-0200-000007000000}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xr3:uid="{00000000-0010-0000-0200-000009000000}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4"/>
  <sheetViews>
    <sheetView showGridLines="0" showRowColHeaders="0" tabSelected="1" zoomScaleNormal="100" workbookViewId="0"/>
  </sheetViews>
  <sheetFormatPr baseColWidth="10" defaultColWidth="0" defaultRowHeight="15" zeroHeight="1"/>
  <cols>
    <col min="1" max="18" width="9" customWidth="1"/>
    <col min="19" max="19" width="1.83203125" customWidth="1"/>
    <col min="20" max="16384" width="9" hidden="1"/>
  </cols>
  <sheetData>
    <row r="1" spans="1:19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3"/>
      <c r="L12" s="53"/>
      <c r="M12" s="27"/>
      <c r="N12" s="27"/>
      <c r="O12" s="27"/>
      <c r="P12" s="27"/>
      <c r="Q12" s="27"/>
      <c r="R12" s="27"/>
      <c r="S12" s="27"/>
    </row>
    <row r="13" spans="1:19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</sheetData>
  <sheetProtection sheet="1" objects="1" scenarios="1"/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A11" sqref="A11"/>
    </sheetView>
  </sheetViews>
  <sheetFormatPr baseColWidth="10" defaultColWidth="8.83203125" defaultRowHeight="15"/>
  <cols>
    <col min="1" max="1" width="29" bestFit="1" customWidth="1"/>
    <col min="2" max="2" width="12" bestFit="1" customWidth="1"/>
    <col min="4" max="4" width="10" customWidth="1"/>
    <col min="6" max="6" width="13.83203125" bestFit="1" customWidth="1"/>
    <col min="7" max="7" width="17.1640625" bestFit="1" customWidth="1"/>
    <col min="9" max="9" width="12.6640625" customWidth="1"/>
    <col min="10" max="10" width="13.6640625" customWidth="1"/>
    <col min="11" max="11" width="14" bestFit="1" customWidth="1"/>
    <col min="14" max="18" width="18.6640625" customWidth="1"/>
  </cols>
  <sheetData>
    <row r="1" spans="1:7">
      <c r="A1" t="s">
        <v>12</v>
      </c>
      <c r="B1" s="1" t="str">
        <f>SUM(ProductMaster[Current Stock])&amp; " Unit(s)"</f>
        <v>625 Unit(s)</v>
      </c>
      <c r="D1" s="14"/>
      <c r="E1" s="14"/>
      <c r="F1" s="15" t="s">
        <v>31</v>
      </c>
      <c r="G1" t="s">
        <v>37</v>
      </c>
    </row>
    <row r="2" spans="1:7">
      <c r="A2" t="s">
        <v>26</v>
      </c>
      <c r="B2" s="13">
        <f>SUM(ProductMaster[Value])</f>
        <v>623794.04999999993</v>
      </c>
      <c r="F2" s="16" t="s">
        <v>10</v>
      </c>
      <c r="G2" s="17">
        <v>165</v>
      </c>
    </row>
    <row r="3" spans="1:7">
      <c r="A3" t="s">
        <v>27</v>
      </c>
      <c r="B3" s="14">
        <f ca="1">DATE(YEAR(TODAY()),MONTH(TODAY()),1)-1</f>
        <v>43890</v>
      </c>
      <c r="F3" s="16" t="s">
        <v>57</v>
      </c>
      <c r="G3" s="17">
        <v>0</v>
      </c>
    </row>
    <row r="4" spans="1:7">
      <c r="A4" t="s">
        <v>28</v>
      </c>
      <c r="B4" s="14">
        <f ca="1">EOMONTH(TODAY(),0)+1</f>
        <v>43922</v>
      </c>
      <c r="F4" s="16" t="s">
        <v>33</v>
      </c>
      <c r="G4" s="17">
        <v>330</v>
      </c>
    </row>
    <row r="5" spans="1:7">
      <c r="A5" t="s">
        <v>29</v>
      </c>
      <c r="B5" s="1" t="str">
        <f ca="1">SUMIFS(StockInData[Quantity],StockInData[Date],"&gt;"&amp;Help!B3,StockInData[Date],"&lt;"&amp;Help!B4)&amp;" Unit(s)"</f>
        <v>0 Unit(s)</v>
      </c>
      <c r="F5" s="16" t="s">
        <v>35</v>
      </c>
      <c r="G5" s="17">
        <v>100</v>
      </c>
    </row>
    <row r="6" spans="1:7">
      <c r="A6" t="s">
        <v>30</v>
      </c>
      <c r="B6" s="1" t="str">
        <f ca="1">SUMIFS(StockOutData[Quantity],StockOutData[Date],"&gt;"&amp;Help!B3,StockOutData[Date],"&lt;"&amp;Help!B4)&amp;" Unit(s)"</f>
        <v>0 Unit(s)</v>
      </c>
      <c r="F6" s="16" t="s">
        <v>36</v>
      </c>
      <c r="G6" s="17">
        <v>30</v>
      </c>
    </row>
    <row r="7" spans="1:7">
      <c r="A7" t="s">
        <v>52</v>
      </c>
      <c r="B7" s="21" t="e">
        <f>MATCH(Dashboard!K12,ProductMaster[Product Name],0)</f>
        <v>#N/A</v>
      </c>
      <c r="F7" s="16" t="s">
        <v>32</v>
      </c>
      <c r="G7" s="17">
        <v>625</v>
      </c>
    </row>
    <row r="8" spans="1:7">
      <c r="A8" t="s">
        <v>3</v>
      </c>
      <c r="B8" s="21" t="e">
        <f>VLOOKUP(B7,ProductMaster[#All],3,0)</f>
        <v>#N/A</v>
      </c>
    </row>
    <row r="9" spans="1:7">
      <c r="A9" t="s">
        <v>11</v>
      </c>
      <c r="B9" t="e">
        <f>VLOOKUP(B7,ProductMaster[#All],7,0)</f>
        <v>#N/A</v>
      </c>
    </row>
    <row r="10" spans="1:7">
      <c r="A10" t="s">
        <v>55</v>
      </c>
      <c r="B10" t="e">
        <f>VLOOKUP(B7,ProductMaster[#All],8,0)</f>
        <v>#N/A</v>
      </c>
    </row>
    <row r="11" spans="1:7">
      <c r="A11" t="s">
        <v>26</v>
      </c>
      <c r="B11" s="13" t="e">
        <f>VLOOKUP(B7,ProductMaster[#All],6,0)</f>
        <v>#N/A</v>
      </c>
    </row>
    <row r="12" spans="1:7">
      <c r="A12" t="s">
        <v>53</v>
      </c>
      <c r="B12" t="e">
        <f>"Current Stock is "&amp;B10&amp;" Unit(s). And, Stock Value is "&amp;TEXT(B11,"$0")</f>
        <v>#N/A</v>
      </c>
    </row>
    <row r="13" spans="1:7">
      <c r="A13" t="s">
        <v>54</v>
      </c>
      <c r="B13" t="e">
        <f>B8&amp;"'s"</f>
        <v>#N/A</v>
      </c>
    </row>
    <row r="15" spans="1:7">
      <c r="A15" t="e">
        <f>IF(B10&gt;B9,"Relax! Stock Is Above Re-Order Level.","")</f>
        <v>#N/A</v>
      </c>
    </row>
    <row r="16" spans="1:7" ht="37.5" customHeight="1">
      <c r="A16" t="e">
        <f>IF(B9&gt;B10,"Do Something, Stock is Below Re-Order Level.","")</f>
        <v>#N/A</v>
      </c>
    </row>
    <row r="17" spans="1:1" ht="37.5" customHeight="1">
      <c r="A17" t="e">
        <f>IF(B10=B9,"Hurry Up You Need More Stock","")</f>
        <v>#N/A</v>
      </c>
    </row>
    <row r="18" spans="1:1" ht="37.5" customHeight="1"/>
    <row r="19" spans="1:1" ht="52.5" customHeight="1"/>
    <row r="20" spans="1:1" ht="52.5" customHeight="1"/>
    <row r="38" ht="31.5" customHeight="1"/>
    <row r="39" ht="79.5" customHeight="1"/>
    <row r="40" ht="31.5" customHeight="1"/>
    <row r="41" ht="31.5" customHeight="1"/>
    <row r="42" ht="31.5" customHeight="1"/>
    <row r="43" ht="31.5" customHeight="1"/>
    <row r="44" ht="31.5" customHeight="1"/>
    <row r="45" ht="31.5" customHeight="1"/>
    <row r="46" ht="31.5" customHeight="1"/>
    <row r="47" ht="31.5" customHeight="1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3"/>
  <sheetViews>
    <sheetView showGridLines="0" workbookViewId="0">
      <selection activeCell="A9" sqref="A9"/>
    </sheetView>
  </sheetViews>
  <sheetFormatPr baseColWidth="10" defaultColWidth="0" defaultRowHeight="15" zeroHeight="1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>
      <c r="A1" s="31"/>
      <c r="B1" s="32"/>
      <c r="C1" s="31"/>
    </row>
    <row r="2" spans="1:3">
      <c r="A2" s="31"/>
      <c r="B2" s="32"/>
      <c r="C2" s="31"/>
    </row>
    <row r="3" spans="1:3" ht="16" thickBot="1">
      <c r="A3" s="33"/>
      <c r="B3" s="34"/>
      <c r="C3" s="33"/>
    </row>
    <row r="4" spans="1:3">
      <c r="A4" s="27"/>
      <c r="B4" s="28"/>
      <c r="C4" s="27"/>
    </row>
    <row r="5" spans="1:3" s="40" customFormat="1" ht="27.75" customHeight="1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>
      <c r="A6" s="41" t="s">
        <v>1</v>
      </c>
      <c r="B6" s="43" t="str">
        <f ca="1">IF(B8="","",TODAY())</f>
        <v/>
      </c>
      <c r="C6" s="39"/>
    </row>
    <row r="7" spans="1:3" s="40" customFormat="1" ht="27.75" customHeight="1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>
      <c r="A8" s="41" t="s">
        <v>3</v>
      </c>
      <c r="B8" s="35"/>
      <c r="C8" s="39"/>
    </row>
    <row r="9" spans="1:3" s="40" customFormat="1" ht="27.75" customHeight="1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>
      <c r="A11" s="41" t="s">
        <v>6</v>
      </c>
      <c r="B11" s="35"/>
      <c r="C11" s="39"/>
    </row>
    <row r="12" spans="1:3" s="40" customFormat="1" ht="27.75" customHeight="1" thickBot="1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6" thickTop="1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"/>
    </sheetView>
  </sheetViews>
  <sheetFormatPr baseColWidth="10" defaultColWidth="0" defaultRowHeight="15" customHeight="1" zeroHeight="1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>
      <c r="A1" s="31"/>
      <c r="B1" s="32"/>
      <c r="C1" s="31"/>
    </row>
    <row r="2" spans="1:3">
      <c r="A2" s="31"/>
      <c r="B2" s="32"/>
      <c r="C2" s="31"/>
    </row>
    <row r="3" spans="1:3" ht="16" thickBot="1">
      <c r="A3" s="33"/>
      <c r="B3" s="34"/>
      <c r="C3" s="33"/>
    </row>
    <row r="4" spans="1:3">
      <c r="A4" s="27"/>
      <c r="B4" s="28"/>
      <c r="C4" s="27"/>
    </row>
    <row r="5" spans="1:3" ht="27" customHeight="1">
      <c r="A5" s="41" t="s">
        <v>0</v>
      </c>
      <c r="B5" s="42" t="str">
        <f>IF(B8="","",(MAX(StockOutData[S No.])+1))</f>
        <v/>
      </c>
      <c r="C5" s="27"/>
    </row>
    <row r="6" spans="1:3" ht="27" customHeight="1">
      <c r="A6" s="41" t="s">
        <v>1</v>
      </c>
      <c r="B6" s="43" t="str">
        <f ca="1">IF(B8="","",TODAY())</f>
        <v/>
      </c>
      <c r="C6" s="27"/>
    </row>
    <row r="7" spans="1:3" ht="27" customHeight="1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>
      <c r="A8" s="41" t="s">
        <v>3</v>
      </c>
      <c r="B8" s="35"/>
      <c r="C8" s="27"/>
    </row>
    <row r="9" spans="1:3" ht="27" customHeight="1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>
      <c r="A11" s="41" t="s">
        <v>6</v>
      </c>
      <c r="B11" s="35"/>
      <c r="C11" s="27"/>
    </row>
    <row r="12" spans="1:3" ht="27" customHeight="1" thickBot="1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6" thickTop="1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0"/>
  <sheetViews>
    <sheetView showGridLines="0" workbookViewId="0">
      <pane ySplit="1" topLeftCell="A2" activePane="bottomLeft" state="frozen"/>
      <selection pane="bottomLeft" activeCell="H2" sqref="H2:H20"/>
    </sheetView>
  </sheetViews>
  <sheetFormatPr baseColWidth="10" defaultColWidth="8.83203125" defaultRowHeight="15"/>
  <cols>
    <col min="1" max="1" width="5" style="1" customWidth="1"/>
    <col min="2" max="2" width="10.1640625" style="11" customWidth="1"/>
    <col min="3" max="3" width="9.6640625" style="1" customWidth="1"/>
    <col min="4" max="4" width="15.1640625" style="1" customWidth="1"/>
    <col min="5" max="5" width="17.1640625" style="1" customWidth="1"/>
    <col min="6" max="6" width="17.1640625" customWidth="1"/>
    <col min="7" max="7" width="7.1640625" customWidth="1"/>
    <col min="8" max="8" width="12.1640625" customWidth="1"/>
  </cols>
  <sheetData>
    <row r="1" spans="1:8" s="5" customFormat="1" ht="12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7"/>
  <sheetViews>
    <sheetView showGridLines="0" workbookViewId="0">
      <pane ySplit="1" topLeftCell="A2" activePane="bottomLeft" state="frozen"/>
      <selection pane="bottomLeft" activeCell="H16" sqref="H16"/>
    </sheetView>
  </sheetViews>
  <sheetFormatPr baseColWidth="10" defaultColWidth="8.83203125" defaultRowHeight="15"/>
  <cols>
    <col min="1" max="1" width="5" style="1" bestFit="1" customWidth="1"/>
    <col min="2" max="2" width="11" style="11" bestFit="1" customWidth="1"/>
    <col min="3" max="3" width="9.6640625" style="1" bestFit="1" customWidth="1"/>
    <col min="4" max="4" width="13" style="1" bestFit="1" customWidth="1"/>
    <col min="5" max="5" width="17.1640625" style="1" bestFit="1" customWidth="1"/>
    <col min="6" max="6" width="17.1640625" bestFit="1" customWidth="1"/>
    <col min="7" max="7" width="7.1640625" bestFit="1" customWidth="1"/>
    <col min="8" max="8" width="11" bestFit="1" customWidth="1"/>
  </cols>
  <sheetData>
    <row r="1" spans="1:8" s="5" customFormat="1" ht="12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4"/>
  <sheetViews>
    <sheetView showGridLines="0" workbookViewId="0">
      <pane ySplit="1" topLeftCell="A2" activePane="bottomLeft" state="frozen"/>
      <selection pane="bottomLeft" activeCell="C12" sqref="C12"/>
    </sheetView>
  </sheetViews>
  <sheetFormatPr baseColWidth="10" defaultColWidth="8.83203125" defaultRowHeight="15"/>
  <cols>
    <col min="1" max="1" width="5" customWidth="1"/>
    <col min="2" max="2" width="9.6640625" bestFit="1" customWidth="1"/>
    <col min="3" max="3" width="15.1640625" bestFit="1" customWidth="1"/>
    <col min="4" max="5" width="17.1640625" bestFit="1" customWidth="1"/>
    <col min="6" max="6" width="9.6640625" style="13" bestFit="1" customWidth="1"/>
    <col min="7" max="7" width="11.1640625" bestFit="1" customWidth="1"/>
    <col min="8" max="8" width="10.83203125" bestFit="1" customWidth="1"/>
    <col min="9" max="9" width="12.1640625" bestFit="1" customWidth="1"/>
  </cols>
  <sheetData>
    <row r="1" spans="1:9" s="8" customFormat="1" ht="1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40</v>
      </c>
      <c r="I3" s="26">
        <f>SUMIFS(StockInData[Value],StockInData[Product ID],ProductMaster[[#This Row],[Product ID]])-SUMIFS(StockOutData[Value],StockOutData[Product ID],ProductMaster[[#This Row],[Product ID]])</f>
        <v>223960</v>
      </c>
    </row>
    <row r="4" spans="1:9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150</v>
      </c>
      <c r="I8" s="26">
        <f>SUMIFS(StockInData[Value],StockInData[Product ID],ProductMaster[[#This Row],[Product ID]])-SUMIFS(StockOutData[Value],StockOutData[Product ID],ProductMaster[[#This Row],[Product ID]])</f>
        <v>104998.5</v>
      </c>
    </row>
    <row r="9" spans="1:9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  <row r="12" spans="1:9">
      <c r="A12" s="54" t="s">
        <v>56</v>
      </c>
      <c r="B12" s="54"/>
      <c r="C12" s="54"/>
      <c r="D12" s="54"/>
      <c r="E12" s="54"/>
      <c r="F12" s="55"/>
      <c r="G12" s="54"/>
      <c r="H12" s="54">
        <f>SUMIFS(StockInData[Quantity],StockInData[Product ID],ProductMaster[[#This Row],[Product ID]])-SUMIFS(StockOutData[Quantity],StockOutData[Product ID],ProductMaster[[#This Row],[Product ID]])</f>
        <v>0</v>
      </c>
      <c r="I12" s="55">
        <f>SUMIFS(StockInData[Value],StockInData[Product ID],ProductMaster[[#This Row],[Product ID]])-SUMIFS(StockOutData[Value],StockOutData[Product ID],ProductMaster[[#This Row],[Product ID]])</f>
        <v>0</v>
      </c>
    </row>
    <row r="13" spans="1:9">
      <c r="A13" s="54" t="s">
        <v>56</v>
      </c>
      <c r="B13" s="54"/>
      <c r="C13" s="54"/>
      <c r="D13" s="54"/>
      <c r="E13" s="54"/>
      <c r="F13" s="55"/>
      <c r="G13" s="54"/>
      <c r="H13" s="54">
        <f>SUMIFS(StockInData[Quantity],StockInData[Product ID],ProductMaster[[#This Row],[Product ID]])-SUMIFS(StockOutData[Quantity],StockOutData[Product ID],ProductMaster[[#This Row],[Product ID]])</f>
        <v>0</v>
      </c>
      <c r="I13" s="55">
        <f>SUMIFS(StockInData[Value],StockInData[Product ID],ProductMaster[[#This Row],[Product ID]])-SUMIFS(StockOutData[Value],StockOutData[Product ID],ProductMaster[[#This Row],[Product ID]])</f>
        <v>0</v>
      </c>
    </row>
    <row r="14" spans="1:9">
      <c r="A14" s="54" t="s">
        <v>56</v>
      </c>
      <c r="B14" s="54"/>
      <c r="C14" s="54"/>
      <c r="D14" s="54"/>
      <c r="E14" s="54"/>
      <c r="F14" s="55"/>
      <c r="G14" s="54"/>
      <c r="H14" s="54">
        <f>SUMIFS(StockInData[Quantity],StockInData[Product ID],ProductMaster[[#This Row],[Product ID]])-SUMIFS(StockOutData[Quantity],StockOutData[Product ID],ProductMaster[[#This Row],[Product ID]])</f>
        <v>0</v>
      </c>
      <c r="I14" s="55">
        <f>SUMIFS(StockInData[Value],StockInData[Product ID],ProductMaster[[#This Row],[Product ID]])-SUMIFS(StockOutData[Value],StockOutData[Product ID],ProductMaster[[#This Row],[Product ID]])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5A630-6930-FE41-A6C2-E333E0D7DD57}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3"/>
  <sheetViews>
    <sheetView showGridLines="0" workbookViewId="0">
      <selection activeCell="C1" sqref="C1:C1048576"/>
    </sheetView>
  </sheetViews>
  <sheetFormatPr baseColWidth="10" defaultColWidth="0" defaultRowHeight="15" customHeight="1" zeroHeight="1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>
      <c r="A1" s="31"/>
      <c r="B1" s="32"/>
      <c r="C1" s="31"/>
    </row>
    <row r="2" spans="1:3">
      <c r="A2" s="31"/>
      <c r="B2" s="32"/>
      <c r="C2" s="31"/>
    </row>
    <row r="3" spans="1:3" ht="16" thickBot="1">
      <c r="A3" s="33"/>
      <c r="B3" s="34"/>
      <c r="C3" s="33"/>
    </row>
    <row r="4" spans="1:3">
      <c r="A4" s="29"/>
      <c r="B4" s="30"/>
      <c r="C4" s="29"/>
    </row>
    <row r="5" spans="1:3" ht="30.75" customHeight="1">
      <c r="A5" s="47" t="s">
        <v>0</v>
      </c>
      <c r="B5" s="48" t="str">
        <f>IF(B6="","",(MAX(ProductMaster[S No.])+1))</f>
        <v/>
      </c>
      <c r="C5" s="29"/>
    </row>
    <row r="6" spans="1:3" ht="30.75" customHeight="1">
      <c r="A6" s="47" t="s">
        <v>2</v>
      </c>
      <c r="B6" s="36"/>
      <c r="C6" s="29"/>
    </row>
    <row r="7" spans="1:3" ht="30.75" customHeight="1">
      <c r="A7" s="47" t="s">
        <v>3</v>
      </c>
      <c r="B7" s="35"/>
      <c r="C7" s="29"/>
    </row>
    <row r="8" spans="1:3" ht="30.75" customHeight="1">
      <c r="A8" s="47" t="s">
        <v>4</v>
      </c>
      <c r="B8" s="35"/>
      <c r="C8" s="29"/>
    </row>
    <row r="9" spans="1:3" ht="30.75" customHeight="1">
      <c r="A9" s="47" t="s">
        <v>5</v>
      </c>
      <c r="B9" s="35"/>
      <c r="C9" s="29"/>
    </row>
    <row r="10" spans="1:3" ht="30.75" customHeight="1">
      <c r="A10" s="47" t="s">
        <v>25</v>
      </c>
      <c r="B10" s="37"/>
      <c r="C10" s="29"/>
    </row>
    <row r="11" spans="1:3" ht="30.75" customHeight="1" thickBot="1">
      <c r="A11" s="49" t="s">
        <v>11</v>
      </c>
      <c r="B11" s="38"/>
      <c r="C11" s="29"/>
    </row>
    <row r="12" spans="1:3" ht="16" thickTop="1">
      <c r="A12" s="29"/>
      <c r="B12" s="30"/>
      <c r="C12" s="29"/>
    </row>
    <row r="13" spans="1:3" ht="15" hidden="1" customHeight="1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Sheet1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Microsoft Office User</cp:lastModifiedBy>
  <dcterms:created xsi:type="dcterms:W3CDTF">2016-08-05T04:56:17Z</dcterms:created>
  <dcterms:modified xsi:type="dcterms:W3CDTF">2020-03-03T12:11:06Z</dcterms:modified>
  <cp:contentStatus/>
</cp:coreProperties>
</file>